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han\"/>
    </mc:Choice>
  </mc:AlternateContent>
  <xr:revisionPtr revIDLastSave="0" documentId="8_{FD67E166-404E-493A-9E7C-D60423BC82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1" r:id="rId1"/>
  </sheets>
  <definedNames>
    <definedName name="_xlnm._FilterDatabase" localSheetId="0" hidden="1">'Raw Data'!$A$1:$V$501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1" i="1" l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<sst xmlns="http://schemas.openxmlformats.org/spreadsheetml/2006/main" count="4522" uniqueCount="658">
  <si>
    <t>Match ID</t>
  </si>
  <si>
    <t>Date</t>
  </si>
  <si>
    <t>Team</t>
  </si>
  <si>
    <t>Opponent</t>
  </si>
  <si>
    <t>Venue</t>
  </si>
  <si>
    <t>Home Game</t>
  </si>
  <si>
    <t>Goals For</t>
  </si>
  <si>
    <t>Goals Against</t>
  </si>
  <si>
    <t>Match Result</t>
  </si>
  <si>
    <t>Attendance</t>
  </si>
  <si>
    <t>Player</t>
  </si>
  <si>
    <t>Position</t>
  </si>
  <si>
    <t>Minutes Played</t>
  </si>
  <si>
    <t>Goals</t>
  </si>
  <si>
    <t>Assists</t>
  </si>
  <si>
    <t>Fan Channel</t>
  </si>
  <si>
    <t>Engagement Reach</t>
  </si>
  <si>
    <t>Engagement Rate %</t>
  </si>
  <si>
    <t>Merchandise Revenue</t>
  </si>
  <si>
    <t>Fan Age</t>
  </si>
  <si>
    <t>Fan Gender</t>
  </si>
  <si>
    <t>MATCH0256</t>
  </si>
  <si>
    <t>Mohun Bagan</t>
  </si>
  <si>
    <t>Team C</t>
  </si>
  <si>
    <t>Home Stadium</t>
  </si>
  <si>
    <t>Win</t>
  </si>
  <si>
    <t>Player 075</t>
  </si>
  <si>
    <t>Forward</t>
  </si>
  <si>
    <t>Facebook</t>
  </si>
  <si>
    <t>Female</t>
  </si>
  <si>
    <t>MATCH0262</t>
  </si>
  <si>
    <t>East Bengal</t>
  </si>
  <si>
    <t>Team G</t>
  </si>
  <si>
    <t>Player 028</t>
  </si>
  <si>
    <t>Goalkeeper</t>
  </si>
  <si>
    <t>MATCH0147</t>
  </si>
  <si>
    <t>Mumbai City</t>
  </si>
  <si>
    <t>Team A</t>
  </si>
  <si>
    <t>Neutral Venue</t>
  </si>
  <si>
    <t>Draw</t>
  </si>
  <si>
    <t>Player 025</t>
  </si>
  <si>
    <t>YouTube</t>
  </si>
  <si>
    <t>Male</t>
  </si>
  <si>
    <t>MATCH0351</t>
  </si>
  <si>
    <t>Away Stadium</t>
  </si>
  <si>
    <t>Player 088</t>
  </si>
  <si>
    <t>X</t>
  </si>
  <si>
    <t>MATCH0172</t>
  </si>
  <si>
    <t>Team H</t>
  </si>
  <si>
    <t>Player 074</t>
  </si>
  <si>
    <t>Defender</t>
  </si>
  <si>
    <t>Instagram</t>
  </si>
  <si>
    <t>MATCH0214</t>
  </si>
  <si>
    <t>Kerala Blasters</t>
  </si>
  <si>
    <t>Loss</t>
  </si>
  <si>
    <t>Player 052</t>
  </si>
  <si>
    <t>MATCH0479</t>
  </si>
  <si>
    <t>Player 029</t>
  </si>
  <si>
    <t>MATCH0302</t>
  </si>
  <si>
    <t>MATCH0114</t>
  </si>
  <si>
    <t>Player 050</t>
  </si>
  <si>
    <t>Midfielder</t>
  </si>
  <si>
    <t>Mobile App</t>
  </si>
  <si>
    <t>MATCH0030</t>
  </si>
  <si>
    <t>Player 002</t>
  </si>
  <si>
    <t>MATCH0451</t>
  </si>
  <si>
    <t>Team B</t>
  </si>
  <si>
    <t>Player 082</t>
  </si>
  <si>
    <t>MATCH0464</t>
  </si>
  <si>
    <t>FC Goa</t>
  </si>
  <si>
    <t>Player 005</t>
  </si>
  <si>
    <t>MATCH0152</t>
  </si>
  <si>
    <t>Team E</t>
  </si>
  <si>
    <t>Player 024</t>
  </si>
  <si>
    <t>MATCH0096</t>
  </si>
  <si>
    <t>Player 097</t>
  </si>
  <si>
    <t>MATCH0337</t>
  </si>
  <si>
    <t>Chennaiyin FC</t>
  </si>
  <si>
    <t>Player 063</t>
  </si>
  <si>
    <t>MATCH0470</t>
  </si>
  <si>
    <t>Player 078</t>
  </si>
  <si>
    <t>Email</t>
  </si>
  <si>
    <t>MATCH0276</t>
  </si>
  <si>
    <t>Team F</t>
  </si>
  <si>
    <t>Player 033</t>
  </si>
  <si>
    <t>MATCH0129</t>
  </si>
  <si>
    <t>Player 023</t>
  </si>
  <si>
    <t>Website</t>
  </si>
  <si>
    <t>MATCH0008</t>
  </si>
  <si>
    <t>Bengaluru FC</t>
  </si>
  <si>
    <t>Player 092</t>
  </si>
  <si>
    <t>MATCH0073</t>
  </si>
  <si>
    <t>MATCH0334</t>
  </si>
  <si>
    <t>Player 055</t>
  </si>
  <si>
    <t>MATCH0419</t>
  </si>
  <si>
    <t>Player 044</t>
  </si>
  <si>
    <t>MATCH0218</t>
  </si>
  <si>
    <t>Hyderabad FC</t>
  </si>
  <si>
    <t>Team D</t>
  </si>
  <si>
    <t>Player 030</t>
  </si>
  <si>
    <t>MATCH0390</t>
  </si>
  <si>
    <t>Player 057</t>
  </si>
  <si>
    <t>MATCH0238</t>
  </si>
  <si>
    <t>Player 011</t>
  </si>
  <si>
    <t>MATCH0420</t>
  </si>
  <si>
    <t>Player 009</t>
  </si>
  <si>
    <t>MATCH0366</t>
  </si>
  <si>
    <t>Player 085</t>
  </si>
  <si>
    <t>MATCH0142</t>
  </si>
  <si>
    <t>Player 031</t>
  </si>
  <si>
    <t>MATCH0373</t>
  </si>
  <si>
    <t>Player 100</t>
  </si>
  <si>
    <t>Player 015</t>
  </si>
  <si>
    <t>MATCH0500</t>
  </si>
  <si>
    <t>MATCH0338</t>
  </si>
  <si>
    <t>Player 066</t>
  </si>
  <si>
    <t>MATCH0012</t>
  </si>
  <si>
    <t>MATCH0079</t>
  </si>
  <si>
    <t>Player 093</t>
  </si>
  <si>
    <t>MATCH0475</t>
  </si>
  <si>
    <t>MATCH0085</t>
  </si>
  <si>
    <t>Player 034</t>
  </si>
  <si>
    <t>MATCH0376</t>
  </si>
  <si>
    <t>MATCH0026</t>
  </si>
  <si>
    <t>Player 099</t>
  </si>
  <si>
    <t>MATCH0472</t>
  </si>
  <si>
    <t>Player 086</t>
  </si>
  <si>
    <t>MATCH0249</t>
  </si>
  <si>
    <t>MATCH0421</t>
  </si>
  <si>
    <t>Player 038</t>
  </si>
  <si>
    <t>MATCH0271</t>
  </si>
  <si>
    <t>Player 021</t>
  </si>
  <si>
    <t>MATCH0001</t>
  </si>
  <si>
    <t>Player 084</t>
  </si>
  <si>
    <t>MATCH0042</t>
  </si>
  <si>
    <t>Player 036</t>
  </si>
  <si>
    <t>MATCH0482</t>
  </si>
  <si>
    <t>MATCH0327</t>
  </si>
  <si>
    <t>MATCH0066</t>
  </si>
  <si>
    <t>Player 003</t>
  </si>
  <si>
    <t>MATCH0430</t>
  </si>
  <si>
    <t>Player 006</t>
  </si>
  <si>
    <t>MATCH0065</t>
  </si>
  <si>
    <t>Player 091</t>
  </si>
  <si>
    <t>MATCH0443</t>
  </si>
  <si>
    <t>Player 060</t>
  </si>
  <si>
    <t>MATCH0023</t>
  </si>
  <si>
    <t>MATCH0283</t>
  </si>
  <si>
    <t>MATCH0247</t>
  </si>
  <si>
    <t>Player 032</t>
  </si>
  <si>
    <t>MATCH0190</t>
  </si>
  <si>
    <t>Player 077</t>
  </si>
  <si>
    <t>Other</t>
  </si>
  <si>
    <t>MATCH0253</t>
  </si>
  <si>
    <t>MATCH0316</t>
  </si>
  <si>
    <t>Player 067</t>
  </si>
  <si>
    <t>MATCH0344</t>
  </si>
  <si>
    <t>Player 007</t>
  </si>
  <si>
    <t>MATCH0043</t>
  </si>
  <si>
    <t>Player 069</t>
  </si>
  <si>
    <t>MATCH0263</t>
  </si>
  <si>
    <t>Player 079</t>
  </si>
  <si>
    <t>MATCH0135</t>
  </si>
  <si>
    <t>Player 080</t>
  </si>
  <si>
    <t>MATCH0189</t>
  </si>
  <si>
    <t>MATCH0136</t>
  </si>
  <si>
    <t>Player 051</t>
  </si>
  <si>
    <t>Player 068</t>
  </si>
  <si>
    <t>MATCH0347</t>
  </si>
  <si>
    <t>Player 056</t>
  </si>
  <si>
    <t>MATCH0039</t>
  </si>
  <si>
    <t>MATCH0336</t>
  </si>
  <si>
    <t>Player 013</t>
  </si>
  <si>
    <t>MATCH0126</t>
  </si>
  <si>
    <t>Player 059</t>
  </si>
  <si>
    <t>MATCH0401</t>
  </si>
  <si>
    <t>Player 073</t>
  </si>
  <si>
    <t>MATCH0436</t>
  </si>
  <si>
    <t>Player 054</t>
  </si>
  <si>
    <t>MATCH0392</t>
  </si>
  <si>
    <t>MATCH0130</t>
  </si>
  <si>
    <t>MATCH0459</t>
  </si>
  <si>
    <t>MATCH0034</t>
  </si>
  <si>
    <t>MATCH0439</t>
  </si>
  <si>
    <t>MATCH0286</t>
  </si>
  <si>
    <t>MATCH0285</t>
  </si>
  <si>
    <t>MATCH0480</t>
  </si>
  <si>
    <t>MATCH0153</t>
  </si>
  <si>
    <t>Player 090</t>
  </si>
  <si>
    <t>MATCH0354</t>
  </si>
  <si>
    <t>Player 061</t>
  </si>
  <si>
    <t>MATCH0369</t>
  </si>
  <si>
    <t>Player 046</t>
  </si>
  <si>
    <t>MATCH0278</t>
  </si>
  <si>
    <t>MATCH0089</t>
  </si>
  <si>
    <t>Player 089</t>
  </si>
  <si>
    <t>MATCH0016</t>
  </si>
  <si>
    <t>MATCH0258</t>
  </si>
  <si>
    <t>Player 016</t>
  </si>
  <si>
    <t>MATCH0281</t>
  </si>
  <si>
    <t>Player 042</t>
  </si>
  <si>
    <t>MATCH0460</t>
  </si>
  <si>
    <t>Player 083</t>
  </si>
  <si>
    <t>MATCH0188</t>
  </si>
  <si>
    <t>MATCH0109</t>
  </si>
  <si>
    <t>Player 043</t>
  </si>
  <si>
    <t>Player 020</t>
  </si>
  <si>
    <t>MATCH0128</t>
  </si>
  <si>
    <t>Player 037</t>
  </si>
  <si>
    <t>MATCH0452</t>
  </si>
  <si>
    <t>MATCH0290</t>
  </si>
  <si>
    <t>MATCH0488</t>
  </si>
  <si>
    <t>Player 045</t>
  </si>
  <si>
    <t>MATCH0232</t>
  </si>
  <si>
    <t>MATCH0309</t>
  </si>
  <si>
    <t>Player 076</t>
  </si>
  <si>
    <t>MATCH0343</t>
  </si>
  <si>
    <t>MATCH0365</t>
  </si>
  <si>
    <t>MATCH0399</t>
  </si>
  <si>
    <t>MATCH0137</t>
  </si>
  <si>
    <t>MATCH0216</t>
  </si>
  <si>
    <t>Player 072</t>
  </si>
  <si>
    <t>MATCH0406</t>
  </si>
  <si>
    <t>Player 022</t>
  </si>
  <si>
    <t>MATCH0104</t>
  </si>
  <si>
    <t>MATCH0122</t>
  </si>
  <si>
    <t>MATCH0261</t>
  </si>
  <si>
    <t>MATCH0468</t>
  </si>
  <si>
    <t>MATCH0145</t>
  </si>
  <si>
    <t>Player 017</t>
  </si>
  <si>
    <t>MATCH0410</t>
  </si>
  <si>
    <t>Player 012</t>
  </si>
  <si>
    <t>MATCH0003</t>
  </si>
  <si>
    <t>MATCH0210</t>
  </si>
  <si>
    <t>MATCH0204</t>
  </si>
  <si>
    <t>MATCH0328</t>
  </si>
  <si>
    <t>MATCH0083</t>
  </si>
  <si>
    <t>MATCH0478</t>
  </si>
  <si>
    <t>Player 071</t>
  </si>
  <si>
    <t>MATCH0353</t>
  </si>
  <si>
    <t>MATCH0402</t>
  </si>
  <si>
    <t>MATCH0252</t>
  </si>
  <si>
    <t>MATCH0386</t>
  </si>
  <si>
    <t>MATCH0094</t>
  </si>
  <si>
    <t>Player 058</t>
  </si>
  <si>
    <t>MATCH0240</t>
  </si>
  <si>
    <t>MATCH0084</t>
  </si>
  <si>
    <t>MATCH0403</t>
  </si>
  <si>
    <t>MATCH0332</t>
  </si>
  <si>
    <t>MATCH0041</t>
  </si>
  <si>
    <t>MATCH0358</t>
  </si>
  <si>
    <t>Player 070</t>
  </si>
  <si>
    <t>MATCH0036</t>
  </si>
  <si>
    <t>Player 049</t>
  </si>
  <si>
    <t>MATCH0177</t>
  </si>
  <si>
    <t>MATCH0009</t>
  </si>
  <si>
    <t>MATCH0081</t>
  </si>
  <si>
    <t>Player 094</t>
  </si>
  <si>
    <t>MATCH0385</t>
  </si>
  <si>
    <t>MATCH0100</t>
  </si>
  <si>
    <t>MATCH0314</t>
  </si>
  <si>
    <t>Player 064</t>
  </si>
  <si>
    <t>MATCH0381</t>
  </si>
  <si>
    <t>MATCH0260</t>
  </si>
  <si>
    <t>MATCH0297</t>
  </si>
  <si>
    <t>MATCH0031</t>
  </si>
  <si>
    <t>MATCH0391</t>
  </si>
  <si>
    <t>MATCH0243</t>
  </si>
  <si>
    <t>MATCH0244</t>
  </si>
  <si>
    <t>MATCH0046</t>
  </si>
  <si>
    <t>MATCH0367</t>
  </si>
  <si>
    <t>MATCH0199</t>
  </si>
  <si>
    <t>MATCH0250</t>
  </si>
  <si>
    <t>MATCH0223</t>
  </si>
  <si>
    <t>MATCH0341</t>
  </si>
  <si>
    <t>MATCH0133</t>
  </si>
  <si>
    <t>MATCH0029</t>
  </si>
  <si>
    <t>MATCH0434</t>
  </si>
  <si>
    <t>MATCH0007</t>
  </si>
  <si>
    <t>MATCH0361</t>
  </si>
  <si>
    <t>MATCH0063</t>
  </si>
  <si>
    <t>MATCH0220</t>
  </si>
  <si>
    <t>MATCH0213</t>
  </si>
  <si>
    <t>MATCH0462</t>
  </si>
  <si>
    <t>MATCH0473</t>
  </si>
  <si>
    <t>Player 081</t>
  </si>
  <si>
    <t>MATCH0377</t>
  </si>
  <si>
    <t>MATCH0257</t>
  </si>
  <si>
    <t>MATCH0230</t>
  </si>
  <si>
    <t>Player 098</t>
  </si>
  <si>
    <t>MATCH0378</t>
  </si>
  <si>
    <t>Player 048</t>
  </si>
  <si>
    <t>MATCH0082</t>
  </si>
  <si>
    <t>Player 040</t>
  </si>
  <si>
    <t>MATCH0155</t>
  </si>
  <si>
    <t>MATCH0237</t>
  </si>
  <si>
    <t>Player 035</t>
  </si>
  <si>
    <t>MATCH0028</t>
  </si>
  <si>
    <t>MATCH0054</t>
  </si>
  <si>
    <t>MATCH0272</t>
  </si>
  <si>
    <t>MATCH0292</t>
  </si>
  <si>
    <t>Player 041</t>
  </si>
  <si>
    <t>MATCH0123</t>
  </si>
  <si>
    <t>MATCH0320</t>
  </si>
  <si>
    <t>MATCH0453</t>
  </si>
  <si>
    <t>MATCH0180</t>
  </si>
  <si>
    <t>Player 018</t>
  </si>
  <si>
    <t>MATCH0349</t>
  </si>
  <si>
    <t>Player 001</t>
  </si>
  <si>
    <t>MATCH0499</t>
  </si>
  <si>
    <t>Player 004</t>
  </si>
  <si>
    <t>MATCH0348</t>
  </si>
  <si>
    <t>MATCH0124</t>
  </si>
  <si>
    <t>MATCH0248</t>
  </si>
  <si>
    <t>MATCH0423</t>
  </si>
  <si>
    <t>MATCH0116</t>
  </si>
  <si>
    <t>Player 019</t>
  </si>
  <si>
    <t>MATCH0160</t>
  </si>
  <si>
    <t>MATCH0356</t>
  </si>
  <si>
    <t>MATCH0389</t>
  </si>
  <si>
    <t>MATCH0020</t>
  </si>
  <si>
    <t>MATCH0173</t>
  </si>
  <si>
    <t>Player 010</t>
  </si>
  <si>
    <t>MATCH0246</t>
  </si>
  <si>
    <t>MATCH0330</t>
  </si>
  <si>
    <t>MATCH0379</t>
  </si>
  <si>
    <t>MATCH0015</t>
  </si>
  <si>
    <t>Player 096</t>
  </si>
  <si>
    <t>MATCH0433</t>
  </si>
  <si>
    <t>MATCH0415</t>
  </si>
  <si>
    <t>MATCH0437</t>
  </si>
  <si>
    <t>Player 087</t>
  </si>
  <si>
    <t>MATCH0408</t>
  </si>
  <si>
    <t>MATCH0070</t>
  </si>
  <si>
    <t>Player 039</t>
  </si>
  <si>
    <t>MATCH0259</t>
  </si>
  <si>
    <t>MATCH0300</t>
  </si>
  <si>
    <t>MATCH0424</t>
  </si>
  <si>
    <t>MATCH0383</t>
  </si>
  <si>
    <t>MATCH0072</t>
  </si>
  <si>
    <t>MATCH0120</t>
  </si>
  <si>
    <t>Player 008</t>
  </si>
  <si>
    <t>MATCH0242</t>
  </si>
  <si>
    <t>MATCH0274</t>
  </si>
  <si>
    <t>MATCH0139</t>
  </si>
  <si>
    <t>MATCH0179</t>
  </si>
  <si>
    <t>MATCH0113</t>
  </si>
  <si>
    <t>MATCH0058</t>
  </si>
  <si>
    <t>MATCH0191</t>
  </si>
  <si>
    <t>MATCH0239</t>
  </si>
  <si>
    <t>MATCH0225</t>
  </si>
  <si>
    <t>MATCH0068</t>
  </si>
  <si>
    <t>MATCH0310</t>
  </si>
  <si>
    <t>Player 095</t>
  </si>
  <si>
    <t>MATCH0193</t>
  </si>
  <si>
    <t>MATCH0229</t>
  </si>
  <si>
    <t>MATCH0099</t>
  </si>
  <si>
    <t>MATCH0394</t>
  </si>
  <si>
    <t>Player 014</t>
  </si>
  <si>
    <t>MATCH0469</t>
  </si>
  <si>
    <t>MATCH0162</t>
  </si>
  <si>
    <t>MATCH0458</t>
  </si>
  <si>
    <t>Player 027</t>
  </si>
  <si>
    <t>MATCH0074</t>
  </si>
  <si>
    <t>MATCH0154</t>
  </si>
  <si>
    <t>MATCH0095</t>
  </si>
  <si>
    <t>Player 065</t>
  </si>
  <si>
    <t>MATCH0105</t>
  </si>
  <si>
    <t>MATCH0032</t>
  </si>
  <si>
    <t>MATCH0196</t>
  </si>
  <si>
    <t>MATCH0103</t>
  </si>
  <si>
    <t>MATCH0069</t>
  </si>
  <si>
    <t>MATCH0071</t>
  </si>
  <si>
    <t>MATCH0098</t>
  </si>
  <si>
    <t>MATCH0040</t>
  </si>
  <si>
    <t>MATCH0345</t>
  </si>
  <si>
    <t>MATCH0463</t>
  </si>
  <si>
    <t>MATCH0112</t>
  </si>
  <si>
    <t>MATCH0231</t>
  </si>
  <si>
    <t>MATCH0346</t>
  </si>
  <si>
    <t>MATCH0441</t>
  </si>
  <si>
    <t>MATCH0014</t>
  </si>
  <si>
    <t>MATCH0038</t>
  </si>
  <si>
    <t>Player 062</t>
  </si>
  <si>
    <t>MATCH0251</t>
  </si>
  <si>
    <t>MATCH0414</t>
  </si>
  <si>
    <t>MATCH0037</t>
  </si>
  <si>
    <t>MATCH0198</t>
  </si>
  <si>
    <t>MATCH0010</t>
  </si>
  <si>
    <t>MATCH0266</t>
  </si>
  <si>
    <t>MATCH0197</t>
  </si>
  <si>
    <t>MATCH0368</t>
  </si>
  <si>
    <t>MATCH0450</t>
  </si>
  <si>
    <t>MATCH0101</t>
  </si>
  <si>
    <t>MATCH0476</t>
  </si>
  <si>
    <t>MATCH0270</t>
  </si>
  <si>
    <t>MATCH0235</t>
  </si>
  <si>
    <t>MATCH0456</t>
  </si>
  <si>
    <t>MATCH0091</t>
  </si>
  <si>
    <t>Player 026</t>
  </si>
  <si>
    <t>MATCH0228</t>
  </si>
  <si>
    <t>MATCH0182</t>
  </si>
  <si>
    <t>Player 047</t>
  </si>
  <si>
    <t>MATCH0289</t>
  </si>
  <si>
    <t>MATCH0163</t>
  </si>
  <si>
    <t>MATCH0211</t>
  </si>
  <si>
    <t>MATCH0006</t>
  </si>
  <si>
    <t>MATCH0167</t>
  </si>
  <si>
    <t>MATCH0393</t>
  </si>
  <si>
    <t>MATCH0454</t>
  </si>
  <si>
    <t>MATCH0215</t>
  </si>
  <si>
    <t>MATCH0484</t>
  </si>
  <si>
    <t>MATCH0131</t>
  </si>
  <si>
    <t>MATCH0110</t>
  </si>
  <si>
    <t>MATCH0284</t>
  </si>
  <si>
    <t>MATCH0064</t>
  </si>
  <si>
    <t>MATCH0294</t>
  </si>
  <si>
    <t>MATCH0222</t>
  </si>
  <si>
    <t>MATCH0132</t>
  </si>
  <si>
    <t>MATCH0118</t>
  </si>
  <si>
    <t>MATCH0127</t>
  </si>
  <si>
    <t>MATCH0382</t>
  </si>
  <si>
    <t>MATCH0264</t>
  </si>
  <si>
    <t>MATCH0435</t>
  </si>
  <si>
    <t>Player 053</t>
  </si>
  <si>
    <t>MATCH0209</t>
  </si>
  <si>
    <t>MATCH0440</t>
  </si>
  <si>
    <t>MATCH0011</t>
  </si>
  <si>
    <t>MATCH0465</t>
  </si>
  <si>
    <t>MATCH0067</t>
  </si>
  <si>
    <t>MATCH0092</t>
  </si>
  <si>
    <t>MATCH0497</t>
  </si>
  <si>
    <t>MATCH0025</t>
  </si>
  <si>
    <t>MATCH0184</t>
  </si>
  <si>
    <t>MATCH0080</t>
  </si>
  <si>
    <t>MATCH0158</t>
  </si>
  <si>
    <t>MATCH0426</t>
  </si>
  <si>
    <t>MATCH0062</t>
  </si>
  <si>
    <t>MATCH0496</t>
  </si>
  <si>
    <t>MATCH0022</t>
  </si>
  <si>
    <t>MATCH0174</t>
  </si>
  <si>
    <t>MATCH0375</t>
  </si>
  <si>
    <t>MATCH0175</t>
  </si>
  <si>
    <t>MATCH0288</t>
  </si>
  <si>
    <t>MATCH0291</t>
  </si>
  <si>
    <t>MATCH0192</t>
  </si>
  <si>
    <t>MATCH0325</t>
  </si>
  <si>
    <t>MATCH0298</t>
  </si>
  <si>
    <t>MATCH0444</t>
  </si>
  <si>
    <t>MATCH0425</t>
  </si>
  <si>
    <t>MATCH0097</t>
  </si>
  <si>
    <t>MATCH0185</t>
  </si>
  <si>
    <t>MATCH0035</t>
  </si>
  <si>
    <t>MATCH0018</t>
  </si>
  <si>
    <t>MATCH0331</t>
  </si>
  <si>
    <t>MATCH0304</t>
  </si>
  <si>
    <t>MATCH0350</t>
  </si>
  <si>
    <t>MATCH0396</t>
  </si>
  <si>
    <t>MATCH0486</t>
  </si>
  <si>
    <t>MATCH0282</t>
  </si>
  <si>
    <t>MATCH0076</t>
  </si>
  <si>
    <t>MATCH0049</t>
  </si>
  <si>
    <t>MATCH0477</t>
  </si>
  <si>
    <t>MATCH0161</t>
  </si>
  <si>
    <t>MATCH0428</t>
  </si>
  <si>
    <t>MATCH0245</t>
  </si>
  <si>
    <t>MATCH0166</t>
  </si>
  <si>
    <t>MATCH0140</t>
  </si>
  <si>
    <t>MATCH0407</t>
  </si>
  <si>
    <t>MATCH0119</t>
  </si>
  <si>
    <t>MATCH0053</t>
  </si>
  <si>
    <t>MATCH0236</t>
  </si>
  <si>
    <t>MATCH0227</t>
  </si>
  <si>
    <t>MATCH0317</t>
  </si>
  <si>
    <t>MATCH0111</t>
  </si>
  <si>
    <t>MATCH0404</t>
  </si>
  <si>
    <t>MATCH0143</t>
  </si>
  <si>
    <t>MATCH0150</t>
  </si>
  <si>
    <t>MATCH0442</t>
  </si>
  <si>
    <t>MATCH0275</t>
  </si>
  <si>
    <t>MATCH0321</t>
  </si>
  <si>
    <t>MATCH0355</t>
  </si>
  <si>
    <t>MATCH0017</t>
  </si>
  <si>
    <t>MATCH0201</t>
  </si>
  <si>
    <t>MATCH0148</t>
  </si>
  <si>
    <t>MATCH0324</t>
  </si>
  <si>
    <t>MATCH0273</t>
  </si>
  <si>
    <t>MATCH0485</t>
  </si>
  <si>
    <t>MATCH0279</t>
  </si>
  <si>
    <t>MATCH0400</t>
  </si>
  <si>
    <t>MATCH0313</t>
  </si>
  <si>
    <t>MATCH0221</t>
  </si>
  <si>
    <t>MATCH0208</t>
  </si>
  <si>
    <t>MATCH0205</t>
  </si>
  <si>
    <t>MATCH0427</t>
  </si>
  <si>
    <t>MATCH0187</t>
  </si>
  <si>
    <t>MATCH0295</t>
  </si>
  <si>
    <t>MATCH0299</t>
  </si>
  <si>
    <t>MATCH0117</t>
  </si>
  <si>
    <t>MATCH0194</t>
  </si>
  <si>
    <t>MATCH0149</t>
  </si>
  <si>
    <t>MATCH0005</t>
  </si>
  <si>
    <t>MATCH0019</t>
  </si>
  <si>
    <t>MATCH0044</t>
  </si>
  <si>
    <t>MATCH0491</t>
  </si>
  <si>
    <t>MATCH0233</t>
  </si>
  <si>
    <t>MATCH0121</t>
  </si>
  <si>
    <t>MATCH0164</t>
  </si>
  <si>
    <t>MATCH0303</t>
  </si>
  <si>
    <t>MATCH0490</t>
  </si>
  <si>
    <t>MATCH0138</t>
  </si>
  <si>
    <t>MATCH0388</t>
  </si>
  <si>
    <t>MATCH0446</t>
  </si>
  <si>
    <t>MATCH0107</t>
  </si>
  <si>
    <t>MATCH0364</t>
  </si>
  <si>
    <t>MATCH0416</t>
  </si>
  <si>
    <t>MATCH0165</t>
  </si>
  <si>
    <t>MATCH0024</t>
  </si>
  <si>
    <t>MATCH0359</t>
  </si>
  <si>
    <t>MATCH0340</t>
  </si>
  <si>
    <t>MATCH0417</t>
  </si>
  <si>
    <t>MATCH0395</t>
  </si>
  <si>
    <t>MATCH0055</t>
  </si>
  <si>
    <t>MATCH0052</t>
  </si>
  <si>
    <t>MATCH0384</t>
  </si>
  <si>
    <t>MATCH0474</t>
  </si>
  <si>
    <t>MATCH0398</t>
  </si>
  <si>
    <t>MATCH0241</t>
  </si>
  <si>
    <t>MATCH0362</t>
  </si>
  <si>
    <t>MATCH0306</t>
  </si>
  <si>
    <t>MATCH0090</t>
  </si>
  <si>
    <t>MATCH0168</t>
  </si>
  <si>
    <t>MATCH0202</t>
  </si>
  <si>
    <t>MATCH0004</t>
  </si>
  <si>
    <t>MATCH0371</t>
  </si>
  <si>
    <t>MATCH0061</t>
  </si>
  <si>
    <t>MATCH0293</t>
  </si>
  <si>
    <t>MATCH0255</t>
  </si>
  <si>
    <t>MATCH0151</t>
  </si>
  <si>
    <t>MATCH0483</t>
  </si>
  <si>
    <t>MATCH0217</t>
  </si>
  <si>
    <t>MATCH0207</t>
  </si>
  <si>
    <t>MATCH0418</t>
  </si>
  <si>
    <t>MATCH0181</t>
  </si>
  <si>
    <t>MATCH0318</t>
  </si>
  <si>
    <t>MATCH0438</t>
  </si>
  <si>
    <t>MATCH0466</t>
  </si>
  <si>
    <t>MATCH0002</t>
  </si>
  <si>
    <t>MATCH0405</t>
  </si>
  <si>
    <t>MATCH0357</t>
  </si>
  <si>
    <t>MATCH0060</t>
  </si>
  <si>
    <t>MATCH0489</t>
  </si>
  <si>
    <t>MATCH0412</t>
  </si>
  <si>
    <t>MATCH0280</t>
  </si>
  <si>
    <t>MATCH0050</t>
  </si>
  <si>
    <t>MATCH0157</t>
  </si>
  <si>
    <t>MATCH0467</t>
  </si>
  <si>
    <t>MATCH0370</t>
  </si>
  <si>
    <t>MATCH0195</t>
  </si>
  <si>
    <t>MATCH0125</t>
  </si>
  <si>
    <t>MATCH0268</t>
  </si>
  <si>
    <t>MATCH0445</t>
  </si>
  <si>
    <t>MATCH0013</t>
  </si>
  <si>
    <t>MATCH0432</t>
  </si>
  <si>
    <t>MATCH0277</t>
  </si>
  <si>
    <t>MATCH0312</t>
  </si>
  <si>
    <t>MATCH0224</t>
  </si>
  <si>
    <t>MATCH0269</t>
  </si>
  <si>
    <t>MATCH0156</t>
  </si>
  <si>
    <t>MATCH0033</t>
  </si>
  <si>
    <t>MATCH0234</t>
  </si>
  <si>
    <t>MATCH0301</t>
  </si>
  <si>
    <t>MATCH0360</t>
  </si>
  <si>
    <t>MATCH0212</t>
  </si>
  <si>
    <t>MATCH0498</t>
  </si>
  <si>
    <t>MATCH0047</t>
  </si>
  <si>
    <t>MATCH0141</t>
  </si>
  <si>
    <t>MATCH0144</t>
  </si>
  <si>
    <t>MATCH0115</t>
  </si>
  <si>
    <t>MATCH0409</t>
  </si>
  <si>
    <t>MATCH0455</t>
  </si>
  <si>
    <t>MATCH0045</t>
  </si>
  <si>
    <t>MATCH0315</t>
  </si>
  <si>
    <t>MATCH0323</t>
  </si>
  <si>
    <t>MATCH0387</t>
  </si>
  <si>
    <t>MATCH0411</t>
  </si>
  <si>
    <t>MATCH0108</t>
  </si>
  <si>
    <t>MATCH0178</t>
  </si>
  <si>
    <t>MATCH0335</t>
  </si>
  <si>
    <t>MATCH0461</t>
  </si>
  <si>
    <t>MATCH0311</t>
  </si>
  <si>
    <t>MATCH0265</t>
  </si>
  <si>
    <t>MATCH0431</t>
  </si>
  <si>
    <t>MATCH0342</t>
  </si>
  <si>
    <t>MATCH0326</t>
  </si>
  <si>
    <t>MATCH0296</t>
  </si>
  <si>
    <t>MATCH0106</t>
  </si>
  <si>
    <t>MATCH0319</t>
  </si>
  <si>
    <t>MATCH0056</t>
  </si>
  <si>
    <t>MATCH0087</t>
  </si>
  <si>
    <t>MATCH0413</t>
  </si>
  <si>
    <t>MATCH0493</t>
  </si>
  <si>
    <t>MATCH0487</t>
  </si>
  <si>
    <t>MATCH0492</t>
  </si>
  <si>
    <t>MATCH0170</t>
  </si>
  <si>
    <t>MATCH0481</t>
  </si>
  <si>
    <t>MATCH0226</t>
  </si>
  <si>
    <t>MATCH0176</t>
  </si>
  <si>
    <t>MATCH0171</t>
  </si>
  <si>
    <t>MATCH0307</t>
  </si>
  <si>
    <t>MATCH0322</t>
  </si>
  <si>
    <t>MATCH0333</t>
  </si>
  <si>
    <t>MATCH0203</t>
  </si>
  <si>
    <t>MATCH0494</t>
  </si>
  <si>
    <t>MATCH0088</t>
  </si>
  <si>
    <t>MATCH0457</t>
  </si>
  <si>
    <t>MATCH0086</t>
  </si>
  <si>
    <t>MATCH0429</t>
  </si>
  <si>
    <t>MATCH0448</t>
  </si>
  <si>
    <t>MATCH0200</t>
  </si>
  <si>
    <t>MATCH0352</t>
  </si>
  <si>
    <t>MATCH0075</t>
  </si>
  <si>
    <t>MATCH0447</t>
  </si>
  <si>
    <t>MATCH0449</t>
  </si>
  <si>
    <t>MATCH0186</t>
  </si>
  <si>
    <t>MATCH0093</t>
  </si>
  <si>
    <t>MATCH0363</t>
  </si>
  <si>
    <t>MATCH0372</t>
  </si>
  <si>
    <t>MATCH0134</t>
  </si>
  <si>
    <t>MATCH0057</t>
  </si>
  <si>
    <t>MATCH0305</t>
  </si>
  <si>
    <t>MATCH0329</t>
  </si>
  <si>
    <t>MATCH0206</t>
  </si>
  <si>
    <t>MATCH0078</t>
  </si>
  <si>
    <t>MATCH0183</t>
  </si>
  <si>
    <t>MATCH0339</t>
  </si>
  <si>
    <t>MATCH0146</t>
  </si>
  <si>
    <t>MATCH0059</t>
  </si>
  <si>
    <t>MATCH0422</t>
  </si>
  <si>
    <t>MATCH0021</t>
  </si>
  <si>
    <t>MATCH0287</t>
  </si>
  <si>
    <t>MATCH0397</t>
  </si>
  <si>
    <t>MATCH0495</t>
  </si>
  <si>
    <t>MATCH0027</t>
  </si>
  <si>
    <t>MATCH0051</t>
  </si>
  <si>
    <t>MATCH0374</t>
  </si>
  <si>
    <t>MATCH0219</t>
  </si>
  <si>
    <t>MATCH0267</t>
  </si>
  <si>
    <t>MATCH0308</t>
  </si>
  <si>
    <t>MATCH0102</t>
  </si>
  <si>
    <t>MATCH0169</t>
  </si>
  <si>
    <t>MATCH0471</t>
  </si>
  <si>
    <t>MATCH0077</t>
  </si>
  <si>
    <t>MATCH0380</t>
  </si>
  <si>
    <t>MATCH0048</t>
  </si>
  <si>
    <t>MATCH0159</t>
  </si>
  <si>
    <t>MATCH0254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</si>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</sst>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 vertical="top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numFmt numFmtId="1" formatCode="0"/>
    </dxf>
    <dxf>
      <numFmt numFmtId="3" formatCode="#,##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64" formatCode="[$-14009]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z val="11"/>
        <color theme="0"/>
      </font>
      <fill>
        <patternFill>
          <bgColor rgb="FF0F141E"/>
        </patternFill>
      </fill>
    </dxf>
    <dxf>
      <fill>
        <patternFill>
          <bgColor rgb="FF0F141E"/>
        </patternFill>
      </fill>
    </dxf>
    <dxf>
      <font>
        <b/>
        <i val="0"/>
        <sz val="11"/>
        <color theme="0"/>
      </font>
      <fill>
        <patternFill>
          <bgColor rgb="FF0F141E"/>
        </patternFill>
      </fill>
    </dxf>
    <dxf>
      <fill>
        <patternFill>
          <bgColor rgb="FF0F141E"/>
        </patternFill>
      </fill>
    </dxf>
    <dxf>
      <font>
        <b/>
        <i val="0"/>
        <sz val="11"/>
        <color theme="8" tint="0.39994506668294322"/>
      </font>
      <fill>
        <patternFill>
          <bgColor rgb="FF0A192C"/>
        </patternFill>
      </fill>
    </dxf>
    <dxf>
      <font>
        <b/>
        <i val="0"/>
        <sz val="11"/>
        <color theme="0"/>
      </font>
    </dxf>
    <dxf>
      <font>
        <b/>
        <i val="0"/>
        <sz val="11"/>
        <color theme="0"/>
      </font>
    </dxf>
    <dxf>
      <fill>
        <patternFill>
          <bgColor theme="3" tint="-0.499984740745262"/>
        </patternFill>
      </fill>
    </dxf>
    <dxf>
      <fill>
        <patternFill>
          <bgColor theme="3" tint="-0.499984740745262"/>
        </patternFill>
      </fill>
    </dxf>
  </dxfs>
  <tableStyles count="9" defaultTableStyle="TableStyleMedium2" defaultPivotStyle="PivotStyleLight16">
    <tableStyle name="Slicer Style 1" pivot="0" table="0" count="1" xr9:uid="{83D4F98F-02D7-4974-859B-A29F02C2E6C7}">
      <tableStyleElement type="wholeTable" dxfId="23"/>
    </tableStyle>
    <tableStyle name="Slicer Style 2" pivot="0" table="0" count="1" xr9:uid="{26E8D075-DF40-45EC-8128-8A3348ADEB9C}">
      <tableStyleElement type="wholeTable" dxfId="22"/>
    </tableStyle>
    <tableStyle name="Slicer Style 3" pivot="0" table="0" count="0" xr9:uid="{A7570ED8-64FF-4C49-8441-73AD30CF4974}"/>
    <tableStyle name="Slicer Style 4" pivot="0" table="0" count="1" xr9:uid="{43CEA9BB-A58F-4BB5-A1ED-4D1B8B8E7390}">
      <tableStyleElement type="wholeTable" dxfId="21"/>
    </tableStyle>
    <tableStyle name="Slicer Style 5" pivot="0" table="0" count="1" xr9:uid="{54F6F95B-0D8A-47B3-8EB2-A82FED7D0E84}">
      <tableStyleElement type="wholeTable" dxfId="20"/>
    </tableStyle>
    <tableStyle name="Slicer Style 6" pivot="0" table="0" count="0" xr9:uid="{38E42B08-C213-4245-BC3F-D44190C5E6E5}"/>
    <tableStyle name="Slicer Style 7" pivot="0" table="0" count="1" xr9:uid="{C546CB6D-FCFE-4ACE-B5FE-E8056DC0B70F}">
      <tableStyleElement type="wholeTable" dxfId="19"/>
    </tableStyle>
    <tableStyle name="Slicer Style 8" pivot="0" table="0" count="4" xr9:uid="{CD71933B-3E81-4A5A-BD80-BAAB6F9839D0}">
      <tableStyleElement type="wholeTable" dxfId="18"/>
      <tableStyleElement type="headerRow" dxfId="17"/>
    </tableStyle>
    <tableStyle name="Slicer Style 9" pivot="0" table="0" count="4" xr9:uid="{23235970-82B2-4498-825E-B669DE1F969B}">
      <tableStyleElement type="wholeTable" dxfId="16"/>
      <tableStyleElement type="headerRow" dxfId="15"/>
    </tableStyle>
  </tableStyles>
  <colors>
    <mruColors>
      <color rgb="FF0F141E"/>
      <color rgb="FF091625"/>
      <color rgb="FF182030"/>
      <color rgb="FF0C1F3C"/>
      <color rgb="FF0A192C"/>
      <color rgb="FF122030"/>
      <color rgb="FF276D7D"/>
      <color rgb="FF31879B"/>
      <color rgb="FF101C2A"/>
      <color rgb="FF0D223B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sz val="11"/>
            <color theme="0"/>
          </font>
          <fill>
            <patternFill>
              <bgColor rgb="FF276D7D"/>
            </patternFill>
          </fill>
        </dxf>
        <dxf>
          <font>
            <b/>
            <i val="0"/>
            <sz val="11"/>
            <color theme="0"/>
          </font>
          <fill>
            <patternFill>
              <bgColor rgb="FF0F141E"/>
            </patternFill>
          </fill>
        </dxf>
        <dxf>
          <font>
            <b/>
            <i val="0"/>
            <sz val="11"/>
            <color theme="0"/>
          </font>
          <fill>
            <patternFill>
              <bgColor rgb="FF0F141E"/>
            </patternFill>
          </fill>
        </dxf>
        <dxf>
          <font>
            <b/>
            <i val="0"/>
            <sz val="11"/>
            <color theme="0"/>
          </font>
          <fill>
            <patternFill>
              <bgColor rgb="FF0F141E"/>
            </patternFill>
          </fill>
        </dxf>
      </x14:dxfs>
    </ext>
    <ext xmlns:x14="http://schemas.microsoft.com/office/spreadsheetml/2009/9/main" uri="{EB79DEF2-80B8-43e5-95BD-54CBDDF9020C}">
      <x14:slicerStyles defaultSlicerStyle="Slicer Style 5">
        <x14:slicerStyle name="Slicer Style 1"/>
        <x14:slicerStyle name="Slicer Style 2"/>
        <x14:slicerStyle name="Slicer Style 3"/>
        <x14:slicerStyle name="Slicer Style 4"/>
        <x14:slicerStyle name="Slicer Style 5"/>
        <x14:slicerStyle name="Slicer Style 6"/>
        <x14:slicerStyle name="Slicer Style 7"/>
        <x14:slicerStyle name="Slicer Style 8">
          <x14:slicerStyleElements>
            <x14:slicerStyleElement type="unselectedItemWithData" dxfId="3"/>
            <x14:slicerStyleElement type="selectedItemWithData" dxfId="2"/>
          </x14:slicerStyleElements>
        </x14:slicerStyle>
        <x14:slicerStyle name="Slicer Style 9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47C57-4755-4D5C-9BF2-511E540414B7}" name="Table2" displayName="Table2" ref="A1:V501" totalsRowShown="0" headerRowDxfId="14" headerRowBorderDxfId="13" tableBorderDxfId="12">
  <autoFilter ref="A1:V501" xr:uid="{00000000-0009-0000-0000-000000000000}"/>
  <tableColumns count="22">
    <tableColumn id="1" xr3:uid="{D61EEA17-3EDE-418E-8DB9-189238A94101}" name="Match ID"/>
    <tableColumn id="2" xr3:uid="{11456302-9025-4464-BFD8-B4088F35A575}" name="Date" dataDxfId="11"/>
    <tableColumn id="22" xr3:uid="{21A8EB53-7481-4083-B700-8887AC932DF5}" name="Season" dataDxfId="10">
      <calculatedColumnFormula>YEAR(Table2[[#This Row],[Date]])</calculatedColumnFormula>
    </tableColumn>
    <tableColumn id="3" xr3:uid="{045EC1DD-B33B-413F-B26F-BFCD473411C5}" name="Team"/>
    <tableColumn id="4" xr3:uid="{3AC9FF3B-FD88-4408-B7AF-E924B2EFEF4D}" name="Opponent"/>
    <tableColumn id="5" xr3:uid="{BD2F57E8-D158-4988-ABCA-DE54D4983BA2}" name="Venue"/>
    <tableColumn id="6" xr3:uid="{765DD09E-33EA-4565-915F-0007CF98DC9E}" name="Home Game"/>
    <tableColumn id="7" xr3:uid="{2AF5E1E2-6113-4B62-94E0-C0F1EB299E22}" name="Goals For" dataDxfId="9"/>
    <tableColumn id="8" xr3:uid="{288CE362-B7C6-4BEE-90F5-5279A5211A9A}" name="Goals Against" dataDxfId="8"/>
    <tableColumn id="9" xr3:uid="{58E5E79B-D5E9-4E1F-A702-CEDED480DDB2}" name="Match Result"/>
    <tableColumn id="10" xr3:uid="{7E29C12D-1137-41A4-B588-8232A3A74085}" name="Attendance" dataDxfId="7"/>
    <tableColumn id="11" xr3:uid="{1FAD8721-93D1-472F-AF7D-44763CA07D84}" name="Player"/>
    <tableColumn id="12" xr3:uid="{4CA9A22C-1743-4F1C-92D9-D88E19C9E5C7}" name="Position"/>
    <tableColumn id="13" xr3:uid="{3259DFA8-B527-4490-A0AD-1578E3B84C66}" name="Minutes Played" dataDxfId="6"/>
    <tableColumn id="14" xr3:uid="{82B4E6F6-BC53-4E2C-9155-64BBDA11371D}" name="Goals" dataDxfId="5"/>
    <tableColumn id="15" xr3:uid="{163ABEB0-11AA-461E-9807-4C7D3B027C51}" name="Assists" dataDxfId="4"/>
    <tableColumn id="16" xr3:uid="{BBEC950D-5CF9-44ED-A07E-40DF55FC042D}" name="Fan Channel"/>
    <tableColumn id="17" xr3:uid="{91AE3895-9B57-42C3-98EC-1556ADD5DF36}" name="Engagement Reach" dataDxfId="3"/>
    <tableColumn id="18" xr3:uid="{F7B92C7B-96C6-4446-BAA6-5962CB9A72D4}" name="Engagement Rate %" dataDxfId="2"/>
    <tableColumn id="19" xr3:uid="{EF71A0B6-1AE0-4EEE-BA46-E8273E8153C1}" name="Merchandise Revenue" dataDxfId="1"/>
    <tableColumn id="20" xr3:uid="{3F0EEE1C-CDBF-4256-A8A7-B7A225C199CE}" name="Fan Age" dataDxfId="0"/>
    <tableColumn id="21" xr3:uid="{F1D86B53-F5AC-4651-93F3-1398AB00E35E}" name="Fan Gend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501"/>
  <sheetViews>
    <sheetView tabSelected="1" zoomScale="98" zoomScaleNormal="98" workbookViewId="0">
      <pane ySplit="1" topLeftCell="A10" activePane="bottomLeft" state="frozen"/>
      <selection pane="bottomLeft" activeCell="I18" sqref="I18"/>
    </sheetView>
  </sheetViews>
  <sheetFormatPr defaultRowHeight="15" x14ac:dyDescent="0.25"/>
  <cols>
    <col min="1" max="1" width="11.42578125" customWidth="1"/>
    <col min="2" max="2" width="11" style="1" customWidth="1"/>
    <col min="3" max="3" width="11" style="7" customWidth="1"/>
    <col min="4" max="4" width="17" customWidth="1"/>
    <col min="5" max="5" width="12.140625" customWidth="1"/>
    <col min="6" max="6" width="15" customWidth="1"/>
    <col min="7" max="7" width="14.140625" customWidth="1"/>
    <col min="8" max="8" width="11.42578125" style="10" customWidth="1"/>
    <col min="9" max="9" width="15.140625" style="10" customWidth="1"/>
    <col min="10" max="10" width="14.7109375" customWidth="1"/>
    <col min="11" max="11" width="13.42578125" style="9" customWidth="1"/>
    <col min="12" max="13" width="12" customWidth="1"/>
    <col min="14" max="14" width="16.7109375" style="7" customWidth="1"/>
    <col min="15" max="15" width="8.140625" style="10" customWidth="1"/>
    <col min="16" max="16" width="11.5703125" style="7" bestFit="1" customWidth="1"/>
    <col min="17" max="17" width="16.42578125" bestFit="1" customWidth="1"/>
    <col min="18" max="18" width="19.85546875" style="9" customWidth="1"/>
    <col min="19" max="19" width="23.28515625" style="10" bestFit="1" customWidth="1"/>
    <col min="20" max="20" width="23" style="9" customWidth="1"/>
    <col min="21" max="21" width="12.5703125" style="6" bestFit="1" customWidth="1"/>
    <col min="22" max="22" width="15.85546875" bestFit="1" customWidth="1"/>
  </cols>
  <sheetData>
    <row r="1" spans="1:22" x14ac:dyDescent="0.25">
      <c r="A1" s="2" t="s">
        <v>0</v>
      </c>
      <c r="B1" s="3" t="s">
        <v>1</v>
      </c>
      <c r="C1" s="8" t="s">
        <v>657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2" t="s">
        <v>10</v>
      </c>
      <c r="M1" s="2" t="s">
        <v>11</v>
      </c>
      <c r="N1" s="5" t="s">
        <v>12</v>
      </c>
      <c r="O1" s="2" t="s">
        <v>13</v>
      </c>
      <c r="P1" s="8" t="s">
        <v>14</v>
      </c>
      <c r="Q1" s="2" t="s">
        <v>15</v>
      </c>
      <c r="R1" s="4" t="s">
        <v>16</v>
      </c>
      <c r="S1" s="2" t="s">
        <v>17</v>
      </c>
      <c r="T1" s="4" t="s">
        <v>18</v>
      </c>
      <c r="U1" s="5" t="s">
        <v>19</v>
      </c>
      <c r="V1" s="2" t="s">
        <v>20</v>
      </c>
    </row>
    <row r="2" spans="1:22" x14ac:dyDescent="0.25">
      <c r="A2" t="s">
        <v>21</v>
      </c>
      <c r="B2" s="1">
        <v>45697</v>
      </c>
      <c r="C2" s="7">
        <f>YEAR(Table2[[#This Row],[Date]])</f>
        <v>2025</v>
      </c>
      <c r="D2" t="s">
        <v>22</v>
      </c>
      <c r="E2" t="s">
        <v>23</v>
      </c>
      <c r="F2" t="s">
        <v>24</v>
      </c>
      <c r="G2" t="b">
        <v>0</v>
      </c>
      <c r="H2" s="10">
        <v>3</v>
      </c>
      <c r="I2" s="10">
        <v>2</v>
      </c>
      <c r="J2" t="s">
        <v>25</v>
      </c>
      <c r="K2" s="9">
        <v>27206</v>
      </c>
      <c r="L2" t="s">
        <v>26</v>
      </c>
      <c r="M2" t="s">
        <v>27</v>
      </c>
      <c r="N2" s="7">
        <v>33</v>
      </c>
      <c r="O2" s="10">
        <v>1</v>
      </c>
      <c r="P2" s="7">
        <v>2</v>
      </c>
      <c r="Q2" t="s">
        <v>28</v>
      </c>
      <c r="R2" s="9">
        <v>125985</v>
      </c>
      <c r="S2" s="10">
        <v>6.12</v>
      </c>
      <c r="T2" s="9">
        <v>102024.42</v>
      </c>
      <c r="U2" s="6">
        <v>56</v>
      </c>
      <c r="V2" t="s">
        <v>29</v>
      </c>
    </row>
    <row r="3" spans="1:22" x14ac:dyDescent="0.25">
      <c r="A3" t="s">
        <v>30</v>
      </c>
      <c r="B3" s="1">
        <v>45495</v>
      </c>
      <c r="C3" s="7">
        <f>YEAR(Table2[[#This Row],[Date]])</f>
        <v>2024</v>
      </c>
      <c r="D3" t="s">
        <v>31</v>
      </c>
      <c r="E3" t="s">
        <v>32</v>
      </c>
      <c r="F3" t="s">
        <v>24</v>
      </c>
      <c r="G3" t="b">
        <v>0</v>
      </c>
      <c r="H3" s="10">
        <v>3</v>
      </c>
      <c r="I3" s="10">
        <v>0</v>
      </c>
      <c r="J3" t="s">
        <v>25</v>
      </c>
      <c r="K3" s="9">
        <v>34070</v>
      </c>
      <c r="L3" t="s">
        <v>33</v>
      </c>
      <c r="M3" t="s">
        <v>34</v>
      </c>
      <c r="N3" s="7">
        <v>45</v>
      </c>
      <c r="O3" s="10">
        <v>0</v>
      </c>
      <c r="P3" s="7">
        <v>1</v>
      </c>
      <c r="Q3" t="s">
        <v>28</v>
      </c>
      <c r="R3" s="9">
        <v>63821</v>
      </c>
      <c r="S3" s="10">
        <v>3.34</v>
      </c>
      <c r="T3" s="9">
        <v>74174.13</v>
      </c>
      <c r="U3" s="6">
        <v>53</v>
      </c>
      <c r="V3" t="s">
        <v>29</v>
      </c>
    </row>
    <row r="4" spans="1:22" x14ac:dyDescent="0.25">
      <c r="A4" t="s">
        <v>35</v>
      </c>
      <c r="B4" s="1">
        <v>45867</v>
      </c>
      <c r="C4" s="7">
        <f>YEAR(Table2[[#This Row],[Date]])</f>
        <v>2025</v>
      </c>
      <c r="D4" t="s">
        <v>36</v>
      </c>
      <c r="E4" t="s">
        <v>37</v>
      </c>
      <c r="F4" t="s">
        <v>38</v>
      </c>
      <c r="G4" t="b">
        <v>0</v>
      </c>
      <c r="H4" s="10">
        <v>3</v>
      </c>
      <c r="I4" s="10">
        <v>3</v>
      </c>
      <c r="J4" t="s">
        <v>39</v>
      </c>
      <c r="K4" s="9">
        <v>49750</v>
      </c>
      <c r="L4" t="s">
        <v>40</v>
      </c>
      <c r="M4" t="s">
        <v>34</v>
      </c>
      <c r="N4" s="7">
        <v>67</v>
      </c>
      <c r="O4" s="10">
        <v>1</v>
      </c>
      <c r="P4" s="7">
        <v>1</v>
      </c>
      <c r="Q4" t="s">
        <v>41</v>
      </c>
      <c r="R4" s="9">
        <v>50498</v>
      </c>
      <c r="S4" s="10">
        <v>7.16</v>
      </c>
      <c r="T4" s="9">
        <v>6538.05</v>
      </c>
      <c r="U4" s="6">
        <v>26</v>
      </c>
      <c r="V4" t="s">
        <v>42</v>
      </c>
    </row>
    <row r="5" spans="1:22" x14ac:dyDescent="0.25">
      <c r="A5" t="s">
        <v>43</v>
      </c>
      <c r="B5" s="1">
        <v>45299</v>
      </c>
      <c r="C5" s="7">
        <f>YEAR(Table2[[#This Row],[Date]])</f>
        <v>2024</v>
      </c>
      <c r="D5" t="s">
        <v>36</v>
      </c>
      <c r="E5" t="s">
        <v>23</v>
      </c>
      <c r="F5" t="s">
        <v>44</v>
      </c>
      <c r="G5" t="b">
        <v>0</v>
      </c>
      <c r="H5" s="10">
        <v>5</v>
      </c>
      <c r="I5" s="10">
        <v>1</v>
      </c>
      <c r="J5" t="s">
        <v>25</v>
      </c>
      <c r="K5" s="9">
        <v>29109</v>
      </c>
      <c r="L5" t="s">
        <v>45</v>
      </c>
      <c r="M5" t="s">
        <v>27</v>
      </c>
      <c r="N5" s="7">
        <v>40</v>
      </c>
      <c r="O5" s="10">
        <v>0</v>
      </c>
      <c r="P5" s="7">
        <v>1</v>
      </c>
      <c r="Q5" t="s">
        <v>46</v>
      </c>
      <c r="R5" s="9">
        <v>140276</v>
      </c>
      <c r="S5" s="10">
        <v>2.91</v>
      </c>
      <c r="T5" s="9">
        <v>208370.69</v>
      </c>
      <c r="U5" s="6">
        <v>42</v>
      </c>
      <c r="V5" t="s">
        <v>42</v>
      </c>
    </row>
    <row r="6" spans="1:22" x14ac:dyDescent="0.25">
      <c r="A6" t="s">
        <v>47</v>
      </c>
      <c r="B6" s="1">
        <v>45662</v>
      </c>
      <c r="C6" s="7">
        <f>YEAR(Table2[[#This Row],[Date]])</f>
        <v>2025</v>
      </c>
      <c r="D6" t="s">
        <v>22</v>
      </c>
      <c r="E6" t="s">
        <v>48</v>
      </c>
      <c r="F6" t="s">
        <v>24</v>
      </c>
      <c r="G6" t="b">
        <v>0</v>
      </c>
      <c r="H6" s="10">
        <v>2</v>
      </c>
      <c r="I6" s="10">
        <v>1</v>
      </c>
      <c r="J6" t="s">
        <v>25</v>
      </c>
      <c r="K6" s="9">
        <v>21127</v>
      </c>
      <c r="L6" t="s">
        <v>49</v>
      </c>
      <c r="M6" t="s">
        <v>50</v>
      </c>
      <c r="N6" s="7">
        <v>12</v>
      </c>
      <c r="O6" s="10">
        <v>0</v>
      </c>
      <c r="P6" s="7">
        <v>2</v>
      </c>
      <c r="Q6" t="s">
        <v>51</v>
      </c>
      <c r="R6" s="9">
        <v>26568</v>
      </c>
      <c r="S6" s="10">
        <v>5.6</v>
      </c>
      <c r="T6" s="9">
        <v>38196.449999999997</v>
      </c>
      <c r="U6" s="6">
        <v>27</v>
      </c>
      <c r="V6" t="s">
        <v>42</v>
      </c>
    </row>
    <row r="7" spans="1:22" x14ac:dyDescent="0.25">
      <c r="A7" t="s">
        <v>52</v>
      </c>
      <c r="B7" s="1">
        <v>45639</v>
      </c>
      <c r="C7" s="7">
        <f>YEAR(Table2[[#This Row],[Date]])</f>
        <v>2024</v>
      </c>
      <c r="D7" t="s">
        <v>53</v>
      </c>
      <c r="E7" t="s">
        <v>23</v>
      </c>
      <c r="F7" t="s">
        <v>38</v>
      </c>
      <c r="G7" t="b">
        <v>0</v>
      </c>
      <c r="H7" s="10">
        <v>1</v>
      </c>
      <c r="I7" s="10">
        <v>4</v>
      </c>
      <c r="J7" t="s">
        <v>54</v>
      </c>
      <c r="K7" s="9">
        <v>15574</v>
      </c>
      <c r="L7" t="s">
        <v>55</v>
      </c>
      <c r="M7" t="s">
        <v>50</v>
      </c>
      <c r="N7" s="7">
        <v>89</v>
      </c>
      <c r="O7" s="10">
        <v>0</v>
      </c>
      <c r="P7" s="7">
        <v>2</v>
      </c>
      <c r="Q7" t="s">
        <v>46</v>
      </c>
      <c r="R7" s="9">
        <v>104777</v>
      </c>
      <c r="S7" s="10">
        <v>8.43</v>
      </c>
      <c r="T7" s="9">
        <v>135889.78</v>
      </c>
      <c r="U7" s="6">
        <v>64</v>
      </c>
      <c r="V7" t="s">
        <v>42</v>
      </c>
    </row>
    <row r="8" spans="1:22" x14ac:dyDescent="0.25">
      <c r="A8" t="s">
        <v>56</v>
      </c>
      <c r="B8" s="1">
        <v>45512</v>
      </c>
      <c r="C8" s="7">
        <f>YEAR(Table2[[#This Row],[Date]])</f>
        <v>2024</v>
      </c>
      <c r="D8" t="s">
        <v>31</v>
      </c>
      <c r="E8" t="s">
        <v>32</v>
      </c>
      <c r="F8" t="s">
        <v>44</v>
      </c>
      <c r="G8" t="b">
        <v>1</v>
      </c>
      <c r="H8" s="10">
        <v>5</v>
      </c>
      <c r="I8" s="10">
        <v>2</v>
      </c>
      <c r="J8" t="s">
        <v>25</v>
      </c>
      <c r="K8" s="9">
        <v>35004</v>
      </c>
      <c r="L8" t="s">
        <v>57</v>
      </c>
      <c r="M8" t="s">
        <v>34</v>
      </c>
      <c r="N8" s="7">
        <v>81</v>
      </c>
      <c r="O8" s="10">
        <v>0</v>
      </c>
      <c r="P8" s="7">
        <v>1</v>
      </c>
      <c r="Q8" t="s">
        <v>46</v>
      </c>
      <c r="R8" s="9">
        <v>35895</v>
      </c>
      <c r="S8" s="10">
        <v>6.4</v>
      </c>
      <c r="T8" s="9">
        <v>26775.07</v>
      </c>
      <c r="U8" s="6">
        <v>49</v>
      </c>
      <c r="V8" t="s">
        <v>29</v>
      </c>
    </row>
    <row r="9" spans="1:22" x14ac:dyDescent="0.25">
      <c r="A9" t="s">
        <v>58</v>
      </c>
      <c r="B9" s="1">
        <v>45859</v>
      </c>
      <c r="C9" s="7">
        <f>YEAR(Table2[[#This Row],[Date]])</f>
        <v>2025</v>
      </c>
      <c r="D9" t="s">
        <v>36</v>
      </c>
      <c r="E9" t="s">
        <v>23</v>
      </c>
      <c r="F9" t="s">
        <v>44</v>
      </c>
      <c r="G9" t="b">
        <v>0</v>
      </c>
      <c r="H9" s="10">
        <v>5</v>
      </c>
      <c r="I9" s="10">
        <v>0</v>
      </c>
      <c r="J9" t="s">
        <v>25</v>
      </c>
      <c r="K9" s="9">
        <v>37986</v>
      </c>
      <c r="L9" t="s">
        <v>45</v>
      </c>
      <c r="M9" t="s">
        <v>34</v>
      </c>
      <c r="N9" s="7">
        <v>52</v>
      </c>
      <c r="O9" s="10">
        <v>0</v>
      </c>
      <c r="P9" s="7">
        <v>0</v>
      </c>
      <c r="Q9" t="s">
        <v>51</v>
      </c>
      <c r="R9" s="9">
        <v>91805</v>
      </c>
      <c r="S9" s="10">
        <v>5.65</v>
      </c>
      <c r="T9" s="9">
        <v>194513.79</v>
      </c>
      <c r="U9" s="6">
        <v>30</v>
      </c>
      <c r="V9" t="s">
        <v>29</v>
      </c>
    </row>
    <row r="10" spans="1:22" x14ac:dyDescent="0.25">
      <c r="A10" t="s">
        <v>59</v>
      </c>
      <c r="B10" s="1">
        <v>45427</v>
      </c>
      <c r="C10" s="7">
        <f>YEAR(Table2[[#This Row],[Date]])</f>
        <v>2024</v>
      </c>
      <c r="D10" t="s">
        <v>53</v>
      </c>
      <c r="E10" t="s">
        <v>37</v>
      </c>
      <c r="F10" t="s">
        <v>44</v>
      </c>
      <c r="G10" t="b">
        <v>0</v>
      </c>
      <c r="H10" s="10">
        <v>2</v>
      </c>
      <c r="I10" s="10">
        <v>3</v>
      </c>
      <c r="J10" t="s">
        <v>54</v>
      </c>
      <c r="K10" s="9">
        <v>30941</v>
      </c>
      <c r="L10" t="s">
        <v>60</v>
      </c>
      <c r="M10" t="s">
        <v>61</v>
      </c>
      <c r="N10" s="7">
        <v>29</v>
      </c>
      <c r="O10" s="10">
        <v>0</v>
      </c>
      <c r="P10" s="7">
        <v>1</v>
      </c>
      <c r="Q10" t="s">
        <v>62</v>
      </c>
      <c r="R10" s="9">
        <v>14374</v>
      </c>
      <c r="S10" s="10">
        <v>4.1900000000000004</v>
      </c>
      <c r="T10" s="9">
        <v>247162.75</v>
      </c>
      <c r="U10" s="6">
        <v>61</v>
      </c>
      <c r="V10" t="s">
        <v>42</v>
      </c>
    </row>
    <row r="11" spans="1:22" x14ac:dyDescent="0.25">
      <c r="A11" t="s">
        <v>63</v>
      </c>
      <c r="B11" s="1">
        <v>45682</v>
      </c>
      <c r="C11" s="7">
        <f>YEAR(Table2[[#This Row],[Date]])</f>
        <v>2025</v>
      </c>
      <c r="D11" t="s">
        <v>36</v>
      </c>
      <c r="E11" t="s">
        <v>48</v>
      </c>
      <c r="F11" t="s">
        <v>44</v>
      </c>
      <c r="G11" t="b">
        <v>1</v>
      </c>
      <c r="H11" s="10">
        <v>1</v>
      </c>
      <c r="I11" s="10">
        <v>1</v>
      </c>
      <c r="J11" t="s">
        <v>39</v>
      </c>
      <c r="K11" s="9">
        <v>34418</v>
      </c>
      <c r="L11" t="s">
        <v>64</v>
      </c>
      <c r="M11" t="s">
        <v>27</v>
      </c>
      <c r="N11" s="7">
        <v>12</v>
      </c>
      <c r="O11" s="10">
        <v>0</v>
      </c>
      <c r="P11" s="7">
        <v>0</v>
      </c>
      <c r="Q11" t="s">
        <v>62</v>
      </c>
      <c r="R11" s="9">
        <v>133342</v>
      </c>
      <c r="S11" s="10">
        <v>1.69</v>
      </c>
      <c r="T11" s="9">
        <v>1080.27</v>
      </c>
      <c r="U11" s="6">
        <v>46</v>
      </c>
      <c r="V11" t="s">
        <v>29</v>
      </c>
    </row>
    <row r="12" spans="1:22" x14ac:dyDescent="0.25">
      <c r="A12" t="s">
        <v>65</v>
      </c>
      <c r="B12" s="1">
        <v>45604</v>
      </c>
      <c r="C12" s="7">
        <f>YEAR(Table2[[#This Row],[Date]])</f>
        <v>2024</v>
      </c>
      <c r="D12" t="s">
        <v>31</v>
      </c>
      <c r="E12" t="s">
        <v>66</v>
      </c>
      <c r="F12" t="s">
        <v>24</v>
      </c>
      <c r="G12" t="b">
        <v>0</v>
      </c>
      <c r="H12" s="10">
        <v>5</v>
      </c>
      <c r="I12" s="10">
        <v>1</v>
      </c>
      <c r="J12" t="s">
        <v>25</v>
      </c>
      <c r="K12" s="9">
        <v>10749</v>
      </c>
      <c r="L12" t="s">
        <v>67</v>
      </c>
      <c r="M12" t="s">
        <v>50</v>
      </c>
      <c r="N12" s="7">
        <v>17</v>
      </c>
      <c r="O12" s="10">
        <v>1</v>
      </c>
      <c r="P12" s="7">
        <v>1</v>
      </c>
      <c r="Q12" t="s">
        <v>46</v>
      </c>
      <c r="R12" s="9">
        <v>88326</v>
      </c>
      <c r="S12" s="10">
        <v>3.72</v>
      </c>
      <c r="T12" s="9">
        <v>169592.57</v>
      </c>
      <c r="U12" s="6">
        <v>51</v>
      </c>
      <c r="V12" t="s">
        <v>29</v>
      </c>
    </row>
    <row r="13" spans="1:22" x14ac:dyDescent="0.25">
      <c r="A13" t="s">
        <v>68</v>
      </c>
      <c r="B13" s="1">
        <v>45449</v>
      </c>
      <c r="C13" s="7">
        <f>YEAR(Table2[[#This Row],[Date]])</f>
        <v>2024</v>
      </c>
      <c r="D13" t="s">
        <v>69</v>
      </c>
      <c r="E13" t="s">
        <v>23</v>
      </c>
      <c r="F13" t="s">
        <v>44</v>
      </c>
      <c r="G13" t="b">
        <v>0</v>
      </c>
      <c r="H13" s="10">
        <v>4</v>
      </c>
      <c r="I13" s="10">
        <v>4</v>
      </c>
      <c r="J13" t="s">
        <v>39</v>
      </c>
      <c r="K13" s="9">
        <v>33534</v>
      </c>
      <c r="L13" t="s">
        <v>70</v>
      </c>
      <c r="M13" t="s">
        <v>27</v>
      </c>
      <c r="N13" s="7">
        <v>64</v>
      </c>
      <c r="O13" s="10">
        <v>0</v>
      </c>
      <c r="P13" s="7">
        <v>0</v>
      </c>
      <c r="Q13" t="s">
        <v>46</v>
      </c>
      <c r="R13" s="9">
        <v>29602</v>
      </c>
      <c r="S13" s="10">
        <v>5.13</v>
      </c>
      <c r="T13" s="9">
        <v>199509.42</v>
      </c>
      <c r="U13" s="6">
        <v>55</v>
      </c>
      <c r="V13" t="s">
        <v>42</v>
      </c>
    </row>
    <row r="14" spans="1:22" x14ac:dyDescent="0.25">
      <c r="A14" t="s">
        <v>71</v>
      </c>
      <c r="B14" s="1">
        <v>45791</v>
      </c>
      <c r="C14" s="7">
        <f>YEAR(Table2[[#This Row],[Date]])</f>
        <v>2025</v>
      </c>
      <c r="D14" t="s">
        <v>36</v>
      </c>
      <c r="E14" t="s">
        <v>72</v>
      </c>
      <c r="F14" t="s">
        <v>44</v>
      </c>
      <c r="G14" t="b">
        <v>1</v>
      </c>
      <c r="H14" s="10">
        <v>4</v>
      </c>
      <c r="I14" s="10">
        <v>3</v>
      </c>
      <c r="J14" t="s">
        <v>25</v>
      </c>
      <c r="K14" s="9">
        <v>37285</v>
      </c>
      <c r="L14" t="s">
        <v>73</v>
      </c>
      <c r="M14" t="s">
        <v>61</v>
      </c>
      <c r="N14" s="7">
        <v>15</v>
      </c>
      <c r="O14" s="10">
        <v>1</v>
      </c>
      <c r="P14" s="7">
        <v>1</v>
      </c>
      <c r="Q14" t="s">
        <v>41</v>
      </c>
      <c r="R14" s="9">
        <v>8093</v>
      </c>
      <c r="S14" s="10">
        <v>8.6199999999999992</v>
      </c>
      <c r="T14" s="9">
        <v>39530.83</v>
      </c>
      <c r="U14" s="6">
        <v>57</v>
      </c>
      <c r="V14" t="s">
        <v>42</v>
      </c>
    </row>
    <row r="15" spans="1:22" x14ac:dyDescent="0.25">
      <c r="A15" t="s">
        <v>74</v>
      </c>
      <c r="B15" s="1">
        <v>45320</v>
      </c>
      <c r="C15" s="7">
        <f>YEAR(Table2[[#This Row],[Date]])</f>
        <v>2024</v>
      </c>
      <c r="D15" t="s">
        <v>36</v>
      </c>
      <c r="E15" t="s">
        <v>72</v>
      </c>
      <c r="F15" t="s">
        <v>24</v>
      </c>
      <c r="G15" t="b">
        <v>1</v>
      </c>
      <c r="H15" s="10">
        <v>5</v>
      </c>
      <c r="I15" s="10">
        <v>1</v>
      </c>
      <c r="J15" t="s">
        <v>25</v>
      </c>
      <c r="K15" s="9">
        <v>31332</v>
      </c>
      <c r="L15" t="s">
        <v>75</v>
      </c>
      <c r="M15" t="s">
        <v>61</v>
      </c>
      <c r="N15" s="7">
        <v>43</v>
      </c>
      <c r="O15" s="10">
        <v>0</v>
      </c>
      <c r="P15" s="7">
        <v>0</v>
      </c>
      <c r="Q15" t="s">
        <v>51</v>
      </c>
      <c r="R15" s="9">
        <v>68182</v>
      </c>
      <c r="S15" s="10">
        <v>5.79</v>
      </c>
      <c r="T15" s="9">
        <v>224308.94</v>
      </c>
      <c r="U15" s="6">
        <v>21</v>
      </c>
      <c r="V15" t="s">
        <v>42</v>
      </c>
    </row>
    <row r="16" spans="1:22" x14ac:dyDescent="0.25">
      <c r="A16" t="s">
        <v>76</v>
      </c>
      <c r="B16" s="1">
        <v>45778</v>
      </c>
      <c r="C16" s="7">
        <f>YEAR(Table2[[#This Row],[Date]])</f>
        <v>2025</v>
      </c>
      <c r="D16" t="s">
        <v>77</v>
      </c>
      <c r="E16" t="s">
        <v>37</v>
      </c>
      <c r="F16" t="s">
        <v>38</v>
      </c>
      <c r="G16" t="b">
        <v>1</v>
      </c>
      <c r="H16" s="10">
        <v>5</v>
      </c>
      <c r="I16" s="10">
        <v>4</v>
      </c>
      <c r="J16" t="s">
        <v>25</v>
      </c>
      <c r="K16" s="9">
        <v>47686</v>
      </c>
      <c r="L16" t="s">
        <v>78</v>
      </c>
      <c r="M16" t="s">
        <v>61</v>
      </c>
      <c r="N16" s="7">
        <v>40</v>
      </c>
      <c r="O16" s="10">
        <v>1</v>
      </c>
      <c r="P16" s="7">
        <v>0</v>
      </c>
      <c r="Q16" t="s">
        <v>28</v>
      </c>
      <c r="R16" s="9">
        <v>115173</v>
      </c>
      <c r="S16" s="10">
        <v>4.7</v>
      </c>
      <c r="T16" s="9">
        <v>40434.07</v>
      </c>
      <c r="U16" s="6">
        <v>21</v>
      </c>
      <c r="V16" t="s">
        <v>42</v>
      </c>
    </row>
    <row r="17" spans="1:22" x14ac:dyDescent="0.25">
      <c r="A17" t="s">
        <v>79</v>
      </c>
      <c r="B17" s="1">
        <v>45983</v>
      </c>
      <c r="C17" s="7">
        <f>YEAR(Table2[[#This Row],[Date]])</f>
        <v>2025</v>
      </c>
      <c r="D17" t="s">
        <v>69</v>
      </c>
      <c r="E17" t="s">
        <v>48</v>
      </c>
      <c r="F17" t="s">
        <v>24</v>
      </c>
      <c r="G17" t="b">
        <v>1</v>
      </c>
      <c r="H17" s="10">
        <v>2</v>
      </c>
      <c r="I17" s="10">
        <v>1</v>
      </c>
      <c r="J17" t="s">
        <v>25</v>
      </c>
      <c r="K17" s="9">
        <v>40545</v>
      </c>
      <c r="L17" t="s">
        <v>80</v>
      </c>
      <c r="M17" t="s">
        <v>34</v>
      </c>
      <c r="N17" s="7">
        <v>70</v>
      </c>
      <c r="O17" s="10">
        <v>0</v>
      </c>
      <c r="P17" s="7">
        <v>0</v>
      </c>
      <c r="Q17" t="s">
        <v>81</v>
      </c>
      <c r="R17" s="9">
        <v>123276</v>
      </c>
      <c r="S17" s="10">
        <v>6.12</v>
      </c>
      <c r="T17" s="9">
        <v>3143.42</v>
      </c>
      <c r="U17" s="6">
        <v>60</v>
      </c>
      <c r="V17" t="s">
        <v>42</v>
      </c>
    </row>
    <row r="18" spans="1:22" x14ac:dyDescent="0.25">
      <c r="A18" t="s">
        <v>82</v>
      </c>
      <c r="B18" s="1">
        <v>45892</v>
      </c>
      <c r="C18" s="7">
        <f>YEAR(Table2[[#This Row],[Date]])</f>
        <v>2025</v>
      </c>
      <c r="D18" t="s">
        <v>22</v>
      </c>
      <c r="E18" t="s">
        <v>83</v>
      </c>
      <c r="F18" t="s">
        <v>44</v>
      </c>
      <c r="G18" t="b">
        <v>1</v>
      </c>
      <c r="H18" s="10">
        <v>3</v>
      </c>
      <c r="I18" s="10">
        <v>0</v>
      </c>
      <c r="J18" t="s">
        <v>25</v>
      </c>
      <c r="K18" s="9">
        <v>8007</v>
      </c>
      <c r="L18" t="s">
        <v>84</v>
      </c>
      <c r="M18" t="s">
        <v>34</v>
      </c>
      <c r="N18" s="7">
        <v>16</v>
      </c>
      <c r="O18" s="10">
        <v>0</v>
      </c>
      <c r="P18" s="7">
        <v>0</v>
      </c>
      <c r="Q18" t="s">
        <v>62</v>
      </c>
      <c r="R18" s="9">
        <v>26730</v>
      </c>
      <c r="S18" s="10">
        <v>4.04</v>
      </c>
      <c r="T18" s="9">
        <v>162523.74</v>
      </c>
      <c r="U18" s="6">
        <v>44</v>
      </c>
      <c r="V18" t="s">
        <v>42</v>
      </c>
    </row>
    <row r="19" spans="1:22" x14ac:dyDescent="0.25">
      <c r="A19" t="s">
        <v>85</v>
      </c>
      <c r="B19" s="1">
        <v>45486</v>
      </c>
      <c r="C19" s="7">
        <f>YEAR(Table2[[#This Row],[Date]])</f>
        <v>2024</v>
      </c>
      <c r="D19" t="s">
        <v>31</v>
      </c>
      <c r="E19" t="s">
        <v>37</v>
      </c>
      <c r="F19" t="s">
        <v>44</v>
      </c>
      <c r="G19" t="b">
        <v>1</v>
      </c>
      <c r="H19" s="10">
        <v>4</v>
      </c>
      <c r="I19" s="10">
        <v>3</v>
      </c>
      <c r="J19" t="s">
        <v>25</v>
      </c>
      <c r="K19" s="9">
        <v>54632</v>
      </c>
      <c r="L19" t="s">
        <v>86</v>
      </c>
      <c r="M19" t="s">
        <v>61</v>
      </c>
      <c r="N19" s="7">
        <v>15</v>
      </c>
      <c r="O19" s="10">
        <v>0</v>
      </c>
      <c r="P19" s="7">
        <v>2</v>
      </c>
      <c r="Q19" t="s">
        <v>87</v>
      </c>
      <c r="R19" s="9">
        <v>40671</v>
      </c>
      <c r="S19" s="10">
        <v>6.58</v>
      </c>
      <c r="T19" s="9">
        <v>242663.49</v>
      </c>
      <c r="U19" s="6">
        <v>25</v>
      </c>
      <c r="V19" t="s">
        <v>29</v>
      </c>
    </row>
    <row r="20" spans="1:22" x14ac:dyDescent="0.25">
      <c r="A20" t="s">
        <v>88</v>
      </c>
      <c r="B20" s="1">
        <v>45328</v>
      </c>
      <c r="C20" s="7">
        <f>YEAR(Table2[[#This Row],[Date]])</f>
        <v>2024</v>
      </c>
      <c r="D20" t="s">
        <v>89</v>
      </c>
      <c r="E20" t="s">
        <v>48</v>
      </c>
      <c r="F20" t="s">
        <v>44</v>
      </c>
      <c r="G20" t="b">
        <v>1</v>
      </c>
      <c r="H20" s="10">
        <v>4</v>
      </c>
      <c r="I20" s="10">
        <v>0</v>
      </c>
      <c r="J20" t="s">
        <v>25</v>
      </c>
      <c r="K20" s="9">
        <v>9280</v>
      </c>
      <c r="L20" t="s">
        <v>90</v>
      </c>
      <c r="M20" t="s">
        <v>50</v>
      </c>
      <c r="N20" s="7">
        <v>64</v>
      </c>
      <c r="O20" s="10">
        <v>0</v>
      </c>
      <c r="P20" s="7">
        <v>0</v>
      </c>
      <c r="Q20" t="s">
        <v>46</v>
      </c>
      <c r="R20" s="9">
        <v>6656</v>
      </c>
      <c r="S20" s="10">
        <v>1.0900000000000001</v>
      </c>
      <c r="T20" s="9">
        <v>113184.51</v>
      </c>
      <c r="U20" s="6">
        <v>64</v>
      </c>
      <c r="V20" t="s">
        <v>29</v>
      </c>
    </row>
    <row r="21" spans="1:22" x14ac:dyDescent="0.25">
      <c r="A21" t="s">
        <v>91</v>
      </c>
      <c r="B21" s="1">
        <v>45583</v>
      </c>
      <c r="C21" s="7">
        <f>YEAR(Table2[[#This Row],[Date]])</f>
        <v>2024</v>
      </c>
      <c r="D21" t="s">
        <v>31</v>
      </c>
      <c r="E21" t="s">
        <v>37</v>
      </c>
      <c r="F21" t="s">
        <v>38</v>
      </c>
      <c r="G21" t="b">
        <v>1</v>
      </c>
      <c r="H21" s="10">
        <v>3</v>
      </c>
      <c r="I21" s="10">
        <v>4</v>
      </c>
      <c r="J21" t="s">
        <v>54</v>
      </c>
      <c r="K21" s="9">
        <v>18468</v>
      </c>
      <c r="L21" t="s">
        <v>90</v>
      </c>
      <c r="M21" t="s">
        <v>27</v>
      </c>
      <c r="N21" s="7">
        <v>54</v>
      </c>
      <c r="O21" s="10">
        <v>0</v>
      </c>
      <c r="P21" s="7">
        <v>0</v>
      </c>
      <c r="Q21" t="s">
        <v>62</v>
      </c>
      <c r="R21" s="9">
        <v>34983</v>
      </c>
      <c r="S21" s="10">
        <v>8.8699999999999992</v>
      </c>
      <c r="T21" s="9">
        <v>54366.91</v>
      </c>
      <c r="U21" s="6">
        <v>58</v>
      </c>
      <c r="V21" t="s">
        <v>29</v>
      </c>
    </row>
    <row r="22" spans="1:22" x14ac:dyDescent="0.25">
      <c r="A22" t="s">
        <v>92</v>
      </c>
      <c r="B22" s="1">
        <v>45430</v>
      </c>
      <c r="C22" s="7">
        <f>YEAR(Table2[[#This Row],[Date]])</f>
        <v>2024</v>
      </c>
      <c r="D22" t="s">
        <v>69</v>
      </c>
      <c r="E22" t="s">
        <v>83</v>
      </c>
      <c r="F22" t="s">
        <v>44</v>
      </c>
      <c r="G22" t="b">
        <v>0</v>
      </c>
      <c r="H22" s="10">
        <v>3</v>
      </c>
      <c r="I22" s="10">
        <v>1</v>
      </c>
      <c r="J22" t="s">
        <v>25</v>
      </c>
      <c r="K22" s="9">
        <v>51421</v>
      </c>
      <c r="L22" t="s">
        <v>93</v>
      </c>
      <c r="M22" t="s">
        <v>27</v>
      </c>
      <c r="N22" s="7">
        <v>32</v>
      </c>
      <c r="O22" s="10">
        <v>0</v>
      </c>
      <c r="P22" s="7">
        <v>2</v>
      </c>
      <c r="Q22" t="s">
        <v>28</v>
      </c>
      <c r="R22" s="9">
        <v>55069</v>
      </c>
      <c r="S22" s="10">
        <v>8.34</v>
      </c>
      <c r="T22" s="9">
        <v>236067.5</v>
      </c>
      <c r="U22" s="6">
        <v>41</v>
      </c>
      <c r="V22" t="s">
        <v>42</v>
      </c>
    </row>
    <row r="23" spans="1:22" x14ac:dyDescent="0.25">
      <c r="A23" t="s">
        <v>94</v>
      </c>
      <c r="B23" s="1">
        <v>45783</v>
      </c>
      <c r="C23" s="7">
        <f>YEAR(Table2[[#This Row],[Date]])</f>
        <v>2025</v>
      </c>
      <c r="D23" t="s">
        <v>53</v>
      </c>
      <c r="E23" t="s">
        <v>72</v>
      </c>
      <c r="F23" t="s">
        <v>38</v>
      </c>
      <c r="G23" t="b">
        <v>1</v>
      </c>
      <c r="H23" s="10">
        <v>1</v>
      </c>
      <c r="I23" s="10">
        <v>2</v>
      </c>
      <c r="J23" t="s">
        <v>54</v>
      </c>
      <c r="K23" s="9">
        <v>54525</v>
      </c>
      <c r="L23" t="s">
        <v>95</v>
      </c>
      <c r="M23" t="s">
        <v>61</v>
      </c>
      <c r="N23" s="7">
        <v>20</v>
      </c>
      <c r="O23" s="10">
        <v>0</v>
      </c>
      <c r="P23" s="7">
        <v>1</v>
      </c>
      <c r="Q23" t="s">
        <v>81</v>
      </c>
      <c r="R23" s="9">
        <v>38843</v>
      </c>
      <c r="S23" s="10">
        <v>4.0599999999999996</v>
      </c>
      <c r="T23" s="9">
        <v>8526.7900000000009</v>
      </c>
      <c r="U23" s="6">
        <v>51</v>
      </c>
      <c r="V23" t="s">
        <v>29</v>
      </c>
    </row>
    <row r="24" spans="1:22" x14ac:dyDescent="0.25">
      <c r="A24" t="s">
        <v>96</v>
      </c>
      <c r="B24" s="1">
        <v>45994</v>
      </c>
      <c r="C24" s="7">
        <f>YEAR(Table2[[#This Row],[Date]])</f>
        <v>2025</v>
      </c>
      <c r="D24" t="s">
        <v>97</v>
      </c>
      <c r="E24" t="s">
        <v>98</v>
      </c>
      <c r="F24" t="s">
        <v>44</v>
      </c>
      <c r="G24" t="b">
        <v>1</v>
      </c>
      <c r="H24" s="10">
        <v>0</v>
      </c>
      <c r="I24" s="10">
        <v>3</v>
      </c>
      <c r="J24" t="s">
        <v>54</v>
      </c>
      <c r="K24" s="9">
        <v>9870</v>
      </c>
      <c r="L24" t="s">
        <v>99</v>
      </c>
      <c r="M24" t="s">
        <v>61</v>
      </c>
      <c r="N24" s="7">
        <v>28</v>
      </c>
      <c r="O24" s="10">
        <v>1</v>
      </c>
      <c r="P24" s="7">
        <v>1</v>
      </c>
      <c r="Q24" t="s">
        <v>81</v>
      </c>
      <c r="R24" s="9">
        <v>51477</v>
      </c>
      <c r="S24" s="10">
        <v>2.83</v>
      </c>
      <c r="T24" s="9">
        <v>8586.27</v>
      </c>
      <c r="U24" s="6">
        <v>41</v>
      </c>
      <c r="V24" t="s">
        <v>29</v>
      </c>
    </row>
    <row r="25" spans="1:22" x14ac:dyDescent="0.25">
      <c r="A25" t="s">
        <v>100</v>
      </c>
      <c r="B25" s="1">
        <v>45924</v>
      </c>
      <c r="C25" s="7">
        <f>YEAR(Table2[[#This Row],[Date]])</f>
        <v>2025</v>
      </c>
      <c r="D25" t="s">
        <v>69</v>
      </c>
      <c r="E25" t="s">
        <v>66</v>
      </c>
      <c r="F25" t="s">
        <v>44</v>
      </c>
      <c r="G25" t="b">
        <v>1</v>
      </c>
      <c r="H25" s="10">
        <v>4</v>
      </c>
      <c r="I25" s="10">
        <v>1</v>
      </c>
      <c r="J25" t="s">
        <v>25</v>
      </c>
      <c r="K25" s="9">
        <v>44305</v>
      </c>
      <c r="L25" t="s">
        <v>101</v>
      </c>
      <c r="M25" t="s">
        <v>27</v>
      </c>
      <c r="N25" s="7">
        <v>29</v>
      </c>
      <c r="O25" s="10">
        <v>2</v>
      </c>
      <c r="P25" s="7">
        <v>0</v>
      </c>
      <c r="Q25" t="s">
        <v>41</v>
      </c>
      <c r="R25" s="9">
        <v>100518</v>
      </c>
      <c r="S25" s="10">
        <v>2.61</v>
      </c>
      <c r="T25" s="9">
        <v>62004.3</v>
      </c>
      <c r="U25" s="6">
        <v>30</v>
      </c>
      <c r="V25" t="s">
        <v>42</v>
      </c>
    </row>
    <row r="26" spans="1:22" x14ac:dyDescent="0.25">
      <c r="A26" t="s">
        <v>102</v>
      </c>
      <c r="B26" s="1">
        <v>45319</v>
      </c>
      <c r="C26" s="7">
        <f>YEAR(Table2[[#This Row],[Date]])</f>
        <v>2024</v>
      </c>
      <c r="D26" t="s">
        <v>77</v>
      </c>
      <c r="E26" t="s">
        <v>72</v>
      </c>
      <c r="F26" t="s">
        <v>24</v>
      </c>
      <c r="G26" t="b">
        <v>1</v>
      </c>
      <c r="H26" s="10">
        <v>1</v>
      </c>
      <c r="I26" s="10">
        <v>2</v>
      </c>
      <c r="J26" t="s">
        <v>54</v>
      </c>
      <c r="K26" s="9">
        <v>24587</v>
      </c>
      <c r="L26" t="s">
        <v>103</v>
      </c>
      <c r="M26" t="s">
        <v>34</v>
      </c>
      <c r="N26" s="7">
        <v>32</v>
      </c>
      <c r="O26" s="10">
        <v>2</v>
      </c>
      <c r="P26" s="7">
        <v>1</v>
      </c>
      <c r="Q26" t="s">
        <v>51</v>
      </c>
      <c r="R26" s="9">
        <v>137630</v>
      </c>
      <c r="S26" s="10">
        <v>4.28</v>
      </c>
      <c r="T26" s="9">
        <v>171174.63</v>
      </c>
      <c r="U26" s="6">
        <v>25</v>
      </c>
      <c r="V26" t="s">
        <v>29</v>
      </c>
    </row>
    <row r="27" spans="1:22" x14ac:dyDescent="0.25">
      <c r="A27" t="s">
        <v>104</v>
      </c>
      <c r="B27" s="1">
        <v>45476</v>
      </c>
      <c r="C27" s="7">
        <f>YEAR(Table2[[#This Row],[Date]])</f>
        <v>2024</v>
      </c>
      <c r="D27" t="s">
        <v>22</v>
      </c>
      <c r="E27" t="s">
        <v>37</v>
      </c>
      <c r="F27" t="s">
        <v>44</v>
      </c>
      <c r="G27" t="b">
        <v>0</v>
      </c>
      <c r="H27" s="10">
        <v>3</v>
      </c>
      <c r="I27" s="10">
        <v>4</v>
      </c>
      <c r="J27" t="s">
        <v>54</v>
      </c>
      <c r="K27" s="9">
        <v>15730</v>
      </c>
      <c r="L27" t="s">
        <v>105</v>
      </c>
      <c r="M27" t="s">
        <v>50</v>
      </c>
      <c r="N27" s="7">
        <v>35</v>
      </c>
      <c r="O27" s="10">
        <v>0</v>
      </c>
      <c r="P27" s="7">
        <v>1</v>
      </c>
      <c r="Q27" t="s">
        <v>62</v>
      </c>
      <c r="R27" s="9">
        <v>36028</v>
      </c>
      <c r="S27" s="10">
        <v>2.67</v>
      </c>
      <c r="T27" s="9">
        <v>116637.01</v>
      </c>
      <c r="U27" s="6">
        <v>22</v>
      </c>
      <c r="V27" t="s">
        <v>42</v>
      </c>
    </row>
    <row r="28" spans="1:22" x14ac:dyDescent="0.25">
      <c r="A28" t="s">
        <v>106</v>
      </c>
      <c r="B28" s="1">
        <v>45821</v>
      </c>
      <c r="C28" s="7">
        <f>YEAR(Table2[[#This Row],[Date]])</f>
        <v>2025</v>
      </c>
      <c r="D28" t="s">
        <v>97</v>
      </c>
      <c r="E28" t="s">
        <v>48</v>
      </c>
      <c r="F28" t="s">
        <v>38</v>
      </c>
      <c r="G28" t="b">
        <v>0</v>
      </c>
      <c r="H28" s="10">
        <v>5</v>
      </c>
      <c r="I28" s="10">
        <v>2</v>
      </c>
      <c r="J28" t="s">
        <v>25</v>
      </c>
      <c r="K28" s="9">
        <v>22889</v>
      </c>
      <c r="L28" t="s">
        <v>107</v>
      </c>
      <c r="M28" t="s">
        <v>50</v>
      </c>
      <c r="N28" s="7">
        <v>91</v>
      </c>
      <c r="O28" s="10">
        <v>0</v>
      </c>
      <c r="P28" s="7">
        <v>1</v>
      </c>
      <c r="Q28" t="s">
        <v>51</v>
      </c>
      <c r="R28" s="9">
        <v>30658</v>
      </c>
      <c r="S28" s="10">
        <v>8.49</v>
      </c>
      <c r="T28" s="9">
        <v>68102.19</v>
      </c>
      <c r="U28" s="6">
        <v>64</v>
      </c>
      <c r="V28" t="s">
        <v>29</v>
      </c>
    </row>
    <row r="29" spans="1:22" x14ac:dyDescent="0.25">
      <c r="A29" t="s">
        <v>108</v>
      </c>
      <c r="B29" s="1">
        <v>45381</v>
      </c>
      <c r="C29" s="7">
        <f>YEAR(Table2[[#This Row],[Date]])</f>
        <v>2024</v>
      </c>
      <c r="D29" t="s">
        <v>31</v>
      </c>
      <c r="E29" t="s">
        <v>98</v>
      </c>
      <c r="F29" t="s">
        <v>38</v>
      </c>
      <c r="G29" t="b">
        <v>0</v>
      </c>
      <c r="H29" s="10">
        <v>1</v>
      </c>
      <c r="I29" s="10">
        <v>0</v>
      </c>
      <c r="J29" t="s">
        <v>25</v>
      </c>
      <c r="K29" s="9">
        <v>42274</v>
      </c>
      <c r="L29" t="s">
        <v>109</v>
      </c>
      <c r="M29" t="s">
        <v>50</v>
      </c>
      <c r="N29" s="7">
        <v>59</v>
      </c>
      <c r="O29" s="10">
        <v>0</v>
      </c>
      <c r="P29" s="7">
        <v>1</v>
      </c>
      <c r="Q29" t="s">
        <v>51</v>
      </c>
      <c r="R29" s="9">
        <v>138779</v>
      </c>
      <c r="S29" s="10">
        <v>3.04</v>
      </c>
      <c r="T29" s="9">
        <v>138928.41</v>
      </c>
      <c r="U29" s="6">
        <v>50</v>
      </c>
      <c r="V29" t="s">
        <v>42</v>
      </c>
    </row>
    <row r="30" spans="1:22" x14ac:dyDescent="0.25">
      <c r="A30" t="s">
        <v>110</v>
      </c>
      <c r="B30" s="1">
        <v>45851</v>
      </c>
      <c r="C30" s="7">
        <f>YEAR(Table2[[#This Row],[Date]])</f>
        <v>2025</v>
      </c>
      <c r="D30" t="s">
        <v>97</v>
      </c>
      <c r="E30" t="s">
        <v>32</v>
      </c>
      <c r="F30" t="s">
        <v>44</v>
      </c>
      <c r="G30" t="b">
        <v>0</v>
      </c>
      <c r="H30" s="10">
        <v>3</v>
      </c>
      <c r="I30" s="10">
        <v>2</v>
      </c>
      <c r="J30" t="s">
        <v>25</v>
      </c>
      <c r="K30" s="9">
        <v>41639</v>
      </c>
      <c r="L30" t="s">
        <v>111</v>
      </c>
      <c r="M30" t="s">
        <v>61</v>
      </c>
      <c r="N30" s="7">
        <v>74</v>
      </c>
      <c r="O30" s="10">
        <v>1</v>
      </c>
      <c r="P30" s="7">
        <v>2</v>
      </c>
      <c r="Q30" t="s">
        <v>87</v>
      </c>
      <c r="R30" s="9">
        <v>50256</v>
      </c>
      <c r="S30" s="10">
        <v>3.27</v>
      </c>
      <c r="T30" s="9">
        <v>182098.56</v>
      </c>
      <c r="U30" s="6">
        <v>49</v>
      </c>
      <c r="V30" t="s">
        <v>29</v>
      </c>
    </row>
    <row r="31" spans="1:22" x14ac:dyDescent="0.25">
      <c r="A31" t="s">
        <v>113</v>
      </c>
      <c r="B31" s="1">
        <v>45671</v>
      </c>
      <c r="C31" s="7">
        <f>YEAR(Table2[[#This Row],[Date]])</f>
        <v>2025</v>
      </c>
      <c r="D31" t="s">
        <v>69</v>
      </c>
      <c r="E31" t="s">
        <v>72</v>
      </c>
      <c r="F31" t="s">
        <v>44</v>
      </c>
      <c r="G31" t="b">
        <v>1</v>
      </c>
      <c r="H31" s="10">
        <v>3</v>
      </c>
      <c r="I31" s="10">
        <v>0</v>
      </c>
      <c r="J31" t="s">
        <v>25</v>
      </c>
      <c r="K31" s="9">
        <v>46560</v>
      </c>
      <c r="L31" t="s">
        <v>70</v>
      </c>
      <c r="M31" t="s">
        <v>34</v>
      </c>
      <c r="N31" s="7">
        <v>30</v>
      </c>
      <c r="O31" s="10">
        <v>1</v>
      </c>
      <c r="P31" s="7">
        <v>2</v>
      </c>
      <c r="Q31" t="s">
        <v>51</v>
      </c>
      <c r="R31" s="9">
        <v>90006</v>
      </c>
      <c r="S31" s="10">
        <v>4.26</v>
      </c>
      <c r="T31" s="9">
        <v>89776.72</v>
      </c>
      <c r="U31" s="6">
        <v>46</v>
      </c>
      <c r="V31" t="s">
        <v>42</v>
      </c>
    </row>
    <row r="32" spans="1:22" x14ac:dyDescent="0.25">
      <c r="A32" t="s">
        <v>114</v>
      </c>
      <c r="B32" s="1">
        <v>45577</v>
      </c>
      <c r="C32" s="7">
        <f>YEAR(Table2[[#This Row],[Date]])</f>
        <v>2024</v>
      </c>
      <c r="D32" t="s">
        <v>89</v>
      </c>
      <c r="E32" t="s">
        <v>98</v>
      </c>
      <c r="F32" t="s">
        <v>24</v>
      </c>
      <c r="G32" t="b">
        <v>1</v>
      </c>
      <c r="H32" s="10">
        <v>5</v>
      </c>
      <c r="I32" s="10">
        <v>3</v>
      </c>
      <c r="J32" t="s">
        <v>25</v>
      </c>
      <c r="K32" s="9">
        <v>10646</v>
      </c>
      <c r="L32" t="s">
        <v>115</v>
      </c>
      <c r="M32" t="s">
        <v>61</v>
      </c>
      <c r="N32" s="7">
        <v>21</v>
      </c>
      <c r="O32" s="10">
        <v>0</v>
      </c>
      <c r="P32" s="7">
        <v>1</v>
      </c>
      <c r="Q32" t="s">
        <v>41</v>
      </c>
      <c r="R32" s="9">
        <v>75598</v>
      </c>
      <c r="S32" s="10">
        <v>8.41</v>
      </c>
      <c r="T32" s="9">
        <v>45003.09</v>
      </c>
      <c r="U32" s="6">
        <v>62</v>
      </c>
      <c r="V32" t="s">
        <v>29</v>
      </c>
    </row>
    <row r="33" spans="1:22" x14ac:dyDescent="0.25">
      <c r="A33" t="s">
        <v>116</v>
      </c>
      <c r="B33" s="1">
        <v>45920</v>
      </c>
      <c r="C33" s="7">
        <f>YEAR(Table2[[#This Row],[Date]])</f>
        <v>2025</v>
      </c>
      <c r="D33" t="s">
        <v>22</v>
      </c>
      <c r="E33" t="s">
        <v>72</v>
      </c>
      <c r="F33" t="s">
        <v>24</v>
      </c>
      <c r="G33" t="b">
        <v>0</v>
      </c>
      <c r="H33" s="10">
        <v>2</v>
      </c>
      <c r="I33" s="10">
        <v>2</v>
      </c>
      <c r="J33" t="s">
        <v>39</v>
      </c>
      <c r="K33" s="9">
        <v>41273</v>
      </c>
      <c r="L33" t="s">
        <v>107</v>
      </c>
      <c r="M33" t="s">
        <v>61</v>
      </c>
      <c r="N33" s="7">
        <v>91</v>
      </c>
      <c r="O33" s="10">
        <v>1</v>
      </c>
      <c r="P33" s="7">
        <v>0</v>
      </c>
      <c r="Q33" t="s">
        <v>51</v>
      </c>
      <c r="R33" s="9">
        <v>55768</v>
      </c>
      <c r="S33" s="10">
        <v>3.12</v>
      </c>
      <c r="T33" s="9">
        <v>52666.23</v>
      </c>
      <c r="U33" s="6">
        <v>46</v>
      </c>
      <c r="V33" t="s">
        <v>42</v>
      </c>
    </row>
    <row r="34" spans="1:22" x14ac:dyDescent="0.25">
      <c r="A34" t="s">
        <v>117</v>
      </c>
      <c r="B34" s="1">
        <v>45511</v>
      </c>
      <c r="C34" s="7">
        <f>YEAR(Table2[[#This Row],[Date]])</f>
        <v>2024</v>
      </c>
      <c r="D34" t="s">
        <v>97</v>
      </c>
      <c r="E34" t="s">
        <v>48</v>
      </c>
      <c r="F34" t="s">
        <v>44</v>
      </c>
      <c r="G34" t="b">
        <v>0</v>
      </c>
      <c r="H34" s="10">
        <v>4</v>
      </c>
      <c r="I34" s="10">
        <v>3</v>
      </c>
      <c r="J34" t="s">
        <v>25</v>
      </c>
      <c r="K34" s="9">
        <v>19244</v>
      </c>
      <c r="L34" t="s">
        <v>118</v>
      </c>
      <c r="M34" t="s">
        <v>27</v>
      </c>
      <c r="N34" s="7">
        <v>72</v>
      </c>
      <c r="O34" s="10">
        <v>2</v>
      </c>
      <c r="P34" s="7">
        <v>0</v>
      </c>
      <c r="Q34" t="s">
        <v>51</v>
      </c>
      <c r="R34" s="9">
        <v>108001</v>
      </c>
      <c r="S34" s="10">
        <v>4.9800000000000004</v>
      </c>
      <c r="T34" s="9">
        <v>109175.76</v>
      </c>
      <c r="U34" s="6">
        <v>20</v>
      </c>
      <c r="V34" t="s">
        <v>42</v>
      </c>
    </row>
    <row r="35" spans="1:22" x14ac:dyDescent="0.25">
      <c r="A35" t="s">
        <v>119</v>
      </c>
      <c r="B35" s="1">
        <v>45299</v>
      </c>
      <c r="C35" s="7">
        <f>YEAR(Table2[[#This Row],[Date]])</f>
        <v>2024</v>
      </c>
      <c r="D35" t="s">
        <v>89</v>
      </c>
      <c r="E35" t="s">
        <v>32</v>
      </c>
      <c r="F35" t="s">
        <v>44</v>
      </c>
      <c r="G35" t="b">
        <v>0</v>
      </c>
      <c r="H35" s="10">
        <v>5</v>
      </c>
      <c r="I35" s="10">
        <v>1</v>
      </c>
      <c r="J35" t="s">
        <v>25</v>
      </c>
      <c r="K35" s="9">
        <v>6209</v>
      </c>
      <c r="L35" t="s">
        <v>64</v>
      </c>
      <c r="M35" t="s">
        <v>34</v>
      </c>
      <c r="N35" s="7">
        <v>12</v>
      </c>
      <c r="O35" s="10">
        <v>0</v>
      </c>
      <c r="P35" s="7">
        <v>0</v>
      </c>
      <c r="Q35" t="s">
        <v>41</v>
      </c>
      <c r="R35" s="9">
        <v>117985</v>
      </c>
      <c r="S35" s="10">
        <v>3.49</v>
      </c>
      <c r="T35" s="9">
        <v>205952.57</v>
      </c>
      <c r="U35" s="6">
        <v>47</v>
      </c>
      <c r="V35" t="s">
        <v>29</v>
      </c>
    </row>
    <row r="36" spans="1:22" x14ac:dyDescent="0.25">
      <c r="A36" t="s">
        <v>120</v>
      </c>
      <c r="B36" s="1">
        <v>45384</v>
      </c>
      <c r="C36" s="7">
        <f>YEAR(Table2[[#This Row],[Date]])</f>
        <v>2024</v>
      </c>
      <c r="D36" t="s">
        <v>31</v>
      </c>
      <c r="E36" t="s">
        <v>32</v>
      </c>
      <c r="F36" t="s">
        <v>38</v>
      </c>
      <c r="G36" t="b">
        <v>1</v>
      </c>
      <c r="H36" s="10">
        <v>4</v>
      </c>
      <c r="I36" s="10">
        <v>1</v>
      </c>
      <c r="J36" t="s">
        <v>25</v>
      </c>
      <c r="K36" s="9">
        <v>10459</v>
      </c>
      <c r="L36" t="s">
        <v>121</v>
      </c>
      <c r="M36" t="s">
        <v>27</v>
      </c>
      <c r="N36" s="7">
        <v>74</v>
      </c>
      <c r="O36" s="10">
        <v>0</v>
      </c>
      <c r="P36" s="7">
        <v>0</v>
      </c>
      <c r="Q36" t="s">
        <v>81</v>
      </c>
      <c r="R36" s="9">
        <v>76379</v>
      </c>
      <c r="S36" s="10">
        <v>4.0599999999999996</v>
      </c>
      <c r="T36" s="9">
        <v>143675.01999999999</v>
      </c>
      <c r="U36" s="6">
        <v>60</v>
      </c>
      <c r="V36" t="s">
        <v>42</v>
      </c>
    </row>
    <row r="37" spans="1:22" x14ac:dyDescent="0.25">
      <c r="A37" t="s">
        <v>122</v>
      </c>
      <c r="B37" s="1">
        <v>45749</v>
      </c>
      <c r="C37" s="7">
        <f>YEAR(Table2[[#This Row],[Date]])</f>
        <v>2025</v>
      </c>
      <c r="D37" t="s">
        <v>69</v>
      </c>
      <c r="E37" t="s">
        <v>83</v>
      </c>
      <c r="F37" t="s">
        <v>24</v>
      </c>
      <c r="G37" t="b">
        <v>0</v>
      </c>
      <c r="H37" s="10">
        <v>0</v>
      </c>
      <c r="I37" s="10">
        <v>4</v>
      </c>
      <c r="J37" t="s">
        <v>54</v>
      </c>
      <c r="K37" s="9">
        <v>39999</v>
      </c>
      <c r="L37" t="s">
        <v>40</v>
      </c>
      <c r="M37" t="s">
        <v>50</v>
      </c>
      <c r="N37" s="7">
        <v>39</v>
      </c>
      <c r="O37" s="10">
        <v>0</v>
      </c>
      <c r="P37" s="7">
        <v>0</v>
      </c>
      <c r="Q37" t="s">
        <v>51</v>
      </c>
      <c r="R37" s="9">
        <v>149410</v>
      </c>
      <c r="S37" s="10">
        <v>7.78</v>
      </c>
      <c r="T37" s="9">
        <v>191238.5</v>
      </c>
      <c r="U37" s="6">
        <v>58</v>
      </c>
      <c r="V37" t="s">
        <v>29</v>
      </c>
    </row>
    <row r="38" spans="1:22" x14ac:dyDescent="0.25">
      <c r="A38" t="s">
        <v>123</v>
      </c>
      <c r="B38" s="1">
        <v>45817</v>
      </c>
      <c r="C38" s="7">
        <f>YEAR(Table2[[#This Row],[Date]])</f>
        <v>2025</v>
      </c>
      <c r="D38" t="s">
        <v>69</v>
      </c>
      <c r="E38" t="s">
        <v>72</v>
      </c>
      <c r="F38" t="s">
        <v>24</v>
      </c>
      <c r="G38" t="b">
        <v>0</v>
      </c>
      <c r="H38" s="10">
        <v>3</v>
      </c>
      <c r="I38" s="10">
        <v>0</v>
      </c>
      <c r="J38" t="s">
        <v>25</v>
      </c>
      <c r="K38" s="9">
        <v>21735</v>
      </c>
      <c r="L38" t="s">
        <v>124</v>
      </c>
      <c r="M38" t="s">
        <v>50</v>
      </c>
      <c r="N38" s="7">
        <v>59</v>
      </c>
      <c r="O38" s="10">
        <v>0</v>
      </c>
      <c r="P38" s="7">
        <v>0</v>
      </c>
      <c r="Q38" t="s">
        <v>62</v>
      </c>
      <c r="R38" s="9">
        <v>71655</v>
      </c>
      <c r="S38" s="10">
        <v>4.13</v>
      </c>
      <c r="T38" s="9">
        <v>235971.46</v>
      </c>
      <c r="U38" s="6">
        <v>42</v>
      </c>
      <c r="V38" t="s">
        <v>29</v>
      </c>
    </row>
    <row r="39" spans="1:22" x14ac:dyDescent="0.25">
      <c r="A39" t="s">
        <v>125</v>
      </c>
      <c r="B39" s="1">
        <v>46007</v>
      </c>
      <c r="C39" s="7">
        <f>YEAR(Table2[[#This Row],[Date]])</f>
        <v>2025</v>
      </c>
      <c r="D39" t="s">
        <v>89</v>
      </c>
      <c r="E39" t="s">
        <v>37</v>
      </c>
      <c r="F39" t="s">
        <v>44</v>
      </c>
      <c r="G39" t="b">
        <v>1</v>
      </c>
      <c r="H39" s="10">
        <v>1</v>
      </c>
      <c r="I39" s="10">
        <v>4</v>
      </c>
      <c r="J39" t="s">
        <v>54</v>
      </c>
      <c r="K39" s="9">
        <v>29329</v>
      </c>
      <c r="L39" t="s">
        <v>126</v>
      </c>
      <c r="M39" t="s">
        <v>27</v>
      </c>
      <c r="N39" s="7">
        <v>46</v>
      </c>
      <c r="O39" s="10">
        <v>0</v>
      </c>
      <c r="P39" s="7">
        <v>2</v>
      </c>
      <c r="Q39" t="s">
        <v>62</v>
      </c>
      <c r="R39" s="9">
        <v>112189</v>
      </c>
      <c r="S39" s="10">
        <v>5.93</v>
      </c>
      <c r="T39" s="9">
        <v>139841.76999999999</v>
      </c>
      <c r="U39" s="6">
        <v>46</v>
      </c>
      <c r="V39" t="s">
        <v>42</v>
      </c>
    </row>
    <row r="40" spans="1:22" x14ac:dyDescent="0.25">
      <c r="A40" t="s">
        <v>127</v>
      </c>
      <c r="B40" s="1">
        <v>45565</v>
      </c>
      <c r="C40" s="7">
        <f>YEAR(Table2[[#This Row],[Date]])</f>
        <v>2024</v>
      </c>
      <c r="D40" t="s">
        <v>89</v>
      </c>
      <c r="E40" t="s">
        <v>72</v>
      </c>
      <c r="F40" t="s">
        <v>24</v>
      </c>
      <c r="G40" t="b">
        <v>0</v>
      </c>
      <c r="H40" s="10">
        <v>5</v>
      </c>
      <c r="I40" s="10">
        <v>1</v>
      </c>
      <c r="J40" t="s">
        <v>25</v>
      </c>
      <c r="K40" s="9">
        <v>48942</v>
      </c>
      <c r="L40" t="s">
        <v>70</v>
      </c>
      <c r="M40" t="s">
        <v>34</v>
      </c>
      <c r="N40" s="7">
        <v>58</v>
      </c>
      <c r="O40" s="10">
        <v>1</v>
      </c>
      <c r="P40" s="7">
        <v>1</v>
      </c>
      <c r="Q40" t="s">
        <v>51</v>
      </c>
      <c r="R40" s="9">
        <v>147286</v>
      </c>
      <c r="S40" s="10">
        <v>1.19</v>
      </c>
      <c r="T40" s="9">
        <v>36934.26</v>
      </c>
      <c r="U40" s="6">
        <v>26</v>
      </c>
      <c r="V40" t="s">
        <v>29</v>
      </c>
    </row>
    <row r="41" spans="1:22" x14ac:dyDescent="0.25">
      <c r="A41" t="s">
        <v>128</v>
      </c>
      <c r="B41" s="1">
        <v>45497</v>
      </c>
      <c r="C41" s="7">
        <f>YEAR(Table2[[#This Row],[Date]])</f>
        <v>2024</v>
      </c>
      <c r="D41" t="s">
        <v>31</v>
      </c>
      <c r="E41" t="s">
        <v>72</v>
      </c>
      <c r="F41" t="s">
        <v>24</v>
      </c>
      <c r="G41" t="b">
        <v>1</v>
      </c>
      <c r="H41" s="10">
        <v>0</v>
      </c>
      <c r="I41" s="10">
        <v>1</v>
      </c>
      <c r="J41" t="s">
        <v>54</v>
      </c>
      <c r="K41" s="9">
        <v>40145</v>
      </c>
      <c r="L41" t="s">
        <v>129</v>
      </c>
      <c r="M41" t="s">
        <v>50</v>
      </c>
      <c r="N41" s="7">
        <v>23</v>
      </c>
      <c r="O41" s="10">
        <v>0</v>
      </c>
      <c r="P41" s="7">
        <v>0</v>
      </c>
      <c r="Q41" t="s">
        <v>46</v>
      </c>
      <c r="R41" s="9">
        <v>124588</v>
      </c>
      <c r="S41" s="10">
        <v>5.37</v>
      </c>
      <c r="T41" s="9">
        <v>76700.41</v>
      </c>
      <c r="U41" s="6">
        <v>56</v>
      </c>
      <c r="V41" t="s">
        <v>42</v>
      </c>
    </row>
    <row r="42" spans="1:22" x14ac:dyDescent="0.25">
      <c r="A42" t="s">
        <v>130</v>
      </c>
      <c r="B42" s="1">
        <v>45906</v>
      </c>
      <c r="C42" s="7">
        <f>YEAR(Table2[[#This Row],[Date]])</f>
        <v>2025</v>
      </c>
      <c r="D42" t="s">
        <v>69</v>
      </c>
      <c r="E42" t="s">
        <v>23</v>
      </c>
      <c r="F42" t="s">
        <v>24</v>
      </c>
      <c r="G42" t="b">
        <v>0</v>
      </c>
      <c r="H42" s="10">
        <v>3</v>
      </c>
      <c r="I42" s="10">
        <v>3</v>
      </c>
      <c r="J42" t="s">
        <v>39</v>
      </c>
      <c r="K42" s="9">
        <v>24016</v>
      </c>
      <c r="L42" t="s">
        <v>131</v>
      </c>
      <c r="M42" t="s">
        <v>27</v>
      </c>
      <c r="N42" s="7">
        <v>35</v>
      </c>
      <c r="O42" s="10">
        <v>0</v>
      </c>
      <c r="P42" s="7">
        <v>1</v>
      </c>
      <c r="Q42" t="s">
        <v>28</v>
      </c>
      <c r="R42" s="9">
        <v>58963</v>
      </c>
      <c r="S42" s="10">
        <v>9.41</v>
      </c>
      <c r="T42" s="9">
        <v>249882.37</v>
      </c>
      <c r="U42" s="6">
        <v>54</v>
      </c>
      <c r="V42" t="s">
        <v>42</v>
      </c>
    </row>
    <row r="43" spans="1:22" x14ac:dyDescent="0.25">
      <c r="A43" t="s">
        <v>132</v>
      </c>
      <c r="B43" s="1">
        <v>45800</v>
      </c>
      <c r="C43" s="7">
        <f>YEAR(Table2[[#This Row],[Date]])</f>
        <v>2025</v>
      </c>
      <c r="D43" t="s">
        <v>36</v>
      </c>
      <c r="E43" t="s">
        <v>48</v>
      </c>
      <c r="F43" t="s">
        <v>38</v>
      </c>
      <c r="G43" t="b">
        <v>0</v>
      </c>
      <c r="H43" s="10">
        <v>5</v>
      </c>
      <c r="I43" s="10">
        <v>4</v>
      </c>
      <c r="J43" t="s">
        <v>25</v>
      </c>
      <c r="K43" s="9">
        <v>17856</v>
      </c>
      <c r="L43" t="s">
        <v>133</v>
      </c>
      <c r="M43" t="s">
        <v>27</v>
      </c>
      <c r="N43" s="7">
        <v>94</v>
      </c>
      <c r="O43" s="10">
        <v>1</v>
      </c>
      <c r="P43" s="7">
        <v>0</v>
      </c>
      <c r="Q43" t="s">
        <v>41</v>
      </c>
      <c r="R43" s="9">
        <v>67971</v>
      </c>
      <c r="S43" s="10">
        <v>4.76</v>
      </c>
      <c r="T43" s="9">
        <v>85701.56</v>
      </c>
      <c r="U43" s="6">
        <v>48</v>
      </c>
      <c r="V43" t="s">
        <v>42</v>
      </c>
    </row>
    <row r="44" spans="1:22" x14ac:dyDescent="0.25">
      <c r="A44" t="s">
        <v>134</v>
      </c>
      <c r="B44" s="1">
        <v>45301</v>
      </c>
      <c r="C44" s="7">
        <f>YEAR(Table2[[#This Row],[Date]])</f>
        <v>2024</v>
      </c>
      <c r="D44" t="s">
        <v>69</v>
      </c>
      <c r="E44" t="s">
        <v>48</v>
      </c>
      <c r="F44" t="s">
        <v>44</v>
      </c>
      <c r="G44" t="b">
        <v>0</v>
      </c>
      <c r="H44" s="10">
        <v>4</v>
      </c>
      <c r="I44" s="10">
        <v>0</v>
      </c>
      <c r="J44" t="s">
        <v>25</v>
      </c>
      <c r="K44" s="9">
        <v>32577</v>
      </c>
      <c r="L44" t="s">
        <v>135</v>
      </c>
      <c r="M44" t="s">
        <v>27</v>
      </c>
      <c r="N44" s="7">
        <v>10</v>
      </c>
      <c r="O44" s="10">
        <v>0</v>
      </c>
      <c r="P44" s="7">
        <v>1</v>
      </c>
      <c r="Q44" t="s">
        <v>51</v>
      </c>
      <c r="R44" s="9">
        <v>80447</v>
      </c>
      <c r="S44" s="10">
        <v>5.82</v>
      </c>
      <c r="T44" s="9">
        <v>83349.19</v>
      </c>
      <c r="U44" s="6">
        <v>43</v>
      </c>
      <c r="V44" t="s">
        <v>42</v>
      </c>
    </row>
    <row r="45" spans="1:22" x14ac:dyDescent="0.25">
      <c r="A45" t="s">
        <v>136</v>
      </c>
      <c r="B45" s="1">
        <v>46000</v>
      </c>
      <c r="C45" s="7">
        <f>YEAR(Table2[[#This Row],[Date]])</f>
        <v>2025</v>
      </c>
      <c r="D45" t="s">
        <v>77</v>
      </c>
      <c r="E45" t="s">
        <v>32</v>
      </c>
      <c r="F45" t="s">
        <v>24</v>
      </c>
      <c r="G45" t="b">
        <v>1</v>
      </c>
      <c r="H45" s="10">
        <v>3</v>
      </c>
      <c r="I45" s="10">
        <v>3</v>
      </c>
      <c r="J45" t="s">
        <v>39</v>
      </c>
      <c r="K45" s="9">
        <v>7463</v>
      </c>
      <c r="L45" t="s">
        <v>107</v>
      </c>
      <c r="M45" t="s">
        <v>34</v>
      </c>
      <c r="N45" s="7">
        <v>36</v>
      </c>
      <c r="O45" s="10">
        <v>1</v>
      </c>
      <c r="P45" s="7">
        <v>0</v>
      </c>
      <c r="Q45" t="s">
        <v>41</v>
      </c>
      <c r="R45" s="9">
        <v>142078</v>
      </c>
      <c r="S45" s="10">
        <v>6.33</v>
      </c>
      <c r="T45" s="9">
        <v>35508.839999999997</v>
      </c>
      <c r="U45" s="6">
        <v>37</v>
      </c>
      <c r="V45" t="s">
        <v>29</v>
      </c>
    </row>
    <row r="46" spans="1:22" x14ac:dyDescent="0.25">
      <c r="A46" t="s">
        <v>137</v>
      </c>
      <c r="B46" s="1">
        <v>45302</v>
      </c>
      <c r="C46" s="7">
        <f>YEAR(Table2[[#This Row],[Date]])</f>
        <v>2024</v>
      </c>
      <c r="D46" t="s">
        <v>69</v>
      </c>
      <c r="E46" t="s">
        <v>83</v>
      </c>
      <c r="F46" t="s">
        <v>24</v>
      </c>
      <c r="G46" t="b">
        <v>1</v>
      </c>
      <c r="H46" s="10">
        <v>5</v>
      </c>
      <c r="I46" s="10">
        <v>3</v>
      </c>
      <c r="J46" t="s">
        <v>25</v>
      </c>
      <c r="K46" s="9">
        <v>6744</v>
      </c>
      <c r="L46" t="s">
        <v>70</v>
      </c>
      <c r="M46" t="s">
        <v>34</v>
      </c>
      <c r="N46" s="7">
        <v>73</v>
      </c>
      <c r="O46" s="10">
        <v>1</v>
      </c>
      <c r="P46" s="7">
        <v>0</v>
      </c>
      <c r="Q46" t="s">
        <v>81</v>
      </c>
      <c r="R46" s="9">
        <v>149747</v>
      </c>
      <c r="S46" s="10">
        <v>8.49</v>
      </c>
      <c r="T46" s="9">
        <v>156782.22</v>
      </c>
      <c r="U46" s="6">
        <v>43</v>
      </c>
      <c r="V46" t="s">
        <v>29</v>
      </c>
    </row>
    <row r="47" spans="1:22" x14ac:dyDescent="0.25">
      <c r="A47" t="s">
        <v>138</v>
      </c>
      <c r="B47" s="1">
        <v>45446</v>
      </c>
      <c r="C47" s="7">
        <f>YEAR(Table2[[#This Row],[Date]])</f>
        <v>2024</v>
      </c>
      <c r="D47" t="s">
        <v>53</v>
      </c>
      <c r="E47" t="s">
        <v>48</v>
      </c>
      <c r="F47" t="s">
        <v>24</v>
      </c>
      <c r="G47" t="b">
        <v>1</v>
      </c>
      <c r="H47" s="10">
        <v>4</v>
      </c>
      <c r="I47" s="10">
        <v>0</v>
      </c>
      <c r="J47" t="s">
        <v>25</v>
      </c>
      <c r="K47" s="9">
        <v>32634</v>
      </c>
      <c r="L47" t="s">
        <v>73</v>
      </c>
      <c r="M47" t="s">
        <v>34</v>
      </c>
      <c r="N47" s="7">
        <v>31</v>
      </c>
      <c r="O47" s="10">
        <v>1</v>
      </c>
      <c r="P47" s="7">
        <v>1</v>
      </c>
      <c r="Q47" t="s">
        <v>62</v>
      </c>
      <c r="R47" s="9">
        <v>125604</v>
      </c>
      <c r="S47" s="10">
        <v>3.33</v>
      </c>
      <c r="T47" s="9">
        <v>27745.75</v>
      </c>
      <c r="U47" s="6">
        <v>57</v>
      </c>
      <c r="V47" t="s">
        <v>29</v>
      </c>
    </row>
    <row r="48" spans="1:22" x14ac:dyDescent="0.25">
      <c r="A48" t="s">
        <v>140</v>
      </c>
      <c r="B48" s="1">
        <v>45807</v>
      </c>
      <c r="C48" s="7">
        <f>YEAR(Table2[[#This Row],[Date]])</f>
        <v>2025</v>
      </c>
      <c r="D48" t="s">
        <v>31</v>
      </c>
      <c r="E48" t="s">
        <v>83</v>
      </c>
      <c r="F48" t="s">
        <v>38</v>
      </c>
      <c r="G48" t="b">
        <v>1</v>
      </c>
      <c r="H48" s="10">
        <v>3</v>
      </c>
      <c r="I48" s="10">
        <v>1</v>
      </c>
      <c r="J48" t="s">
        <v>25</v>
      </c>
      <c r="K48" s="9">
        <v>35372</v>
      </c>
      <c r="L48" t="s">
        <v>141</v>
      </c>
      <c r="M48" t="s">
        <v>61</v>
      </c>
      <c r="N48" s="7">
        <v>56</v>
      </c>
      <c r="O48" s="10">
        <v>0</v>
      </c>
      <c r="P48" s="7">
        <v>0</v>
      </c>
      <c r="Q48" t="s">
        <v>41</v>
      </c>
      <c r="R48" s="9">
        <v>146388</v>
      </c>
      <c r="S48" s="10">
        <v>6.15</v>
      </c>
      <c r="T48" s="9">
        <v>107251.13</v>
      </c>
      <c r="U48" s="6">
        <v>41</v>
      </c>
      <c r="V48" t="s">
        <v>42</v>
      </c>
    </row>
    <row r="49" spans="1:22" x14ac:dyDescent="0.25">
      <c r="A49" t="s">
        <v>142</v>
      </c>
      <c r="B49" s="1">
        <v>45498</v>
      </c>
      <c r="C49" s="7">
        <f>YEAR(Table2[[#This Row],[Date]])</f>
        <v>2024</v>
      </c>
      <c r="D49" t="s">
        <v>97</v>
      </c>
      <c r="E49" t="s">
        <v>23</v>
      </c>
      <c r="F49" t="s">
        <v>24</v>
      </c>
      <c r="G49" t="b">
        <v>1</v>
      </c>
      <c r="H49" s="10">
        <v>0</v>
      </c>
      <c r="I49" s="10">
        <v>3</v>
      </c>
      <c r="J49" t="s">
        <v>54</v>
      </c>
      <c r="K49" s="9">
        <v>47004</v>
      </c>
      <c r="L49" t="s">
        <v>143</v>
      </c>
      <c r="M49" t="s">
        <v>27</v>
      </c>
      <c r="N49" s="7">
        <v>57</v>
      </c>
      <c r="O49" s="10">
        <v>0</v>
      </c>
      <c r="P49" s="7">
        <v>1</v>
      </c>
      <c r="Q49" t="s">
        <v>62</v>
      </c>
      <c r="R49" s="9">
        <v>109479</v>
      </c>
      <c r="S49" s="10">
        <v>6.16</v>
      </c>
      <c r="T49" s="9">
        <v>37700.32</v>
      </c>
      <c r="U49" s="6">
        <v>44</v>
      </c>
      <c r="V49" t="s">
        <v>42</v>
      </c>
    </row>
    <row r="50" spans="1:22" x14ac:dyDescent="0.25">
      <c r="A50" t="s">
        <v>144</v>
      </c>
      <c r="B50" s="1">
        <v>45699</v>
      </c>
      <c r="C50" s="7">
        <f>YEAR(Table2[[#This Row],[Date]])</f>
        <v>2025</v>
      </c>
      <c r="D50" t="s">
        <v>22</v>
      </c>
      <c r="E50" t="s">
        <v>23</v>
      </c>
      <c r="F50" t="s">
        <v>24</v>
      </c>
      <c r="G50" t="b">
        <v>0</v>
      </c>
      <c r="H50" s="10">
        <v>5</v>
      </c>
      <c r="I50" s="10">
        <v>0</v>
      </c>
      <c r="J50" t="s">
        <v>25</v>
      </c>
      <c r="K50" s="9">
        <v>8505</v>
      </c>
      <c r="L50" t="s">
        <v>145</v>
      </c>
      <c r="M50" t="s">
        <v>61</v>
      </c>
      <c r="N50" s="7">
        <v>54</v>
      </c>
      <c r="O50" s="10">
        <v>0</v>
      </c>
      <c r="P50" s="7">
        <v>1</v>
      </c>
      <c r="Q50" t="s">
        <v>46</v>
      </c>
      <c r="R50" s="9">
        <v>92918</v>
      </c>
      <c r="S50" s="10">
        <v>3.46</v>
      </c>
      <c r="T50" s="9">
        <v>153717.37</v>
      </c>
      <c r="U50" s="6">
        <v>26</v>
      </c>
      <c r="V50" t="s">
        <v>29</v>
      </c>
    </row>
    <row r="51" spans="1:22" x14ac:dyDescent="0.25">
      <c r="A51" t="s">
        <v>146</v>
      </c>
      <c r="B51" s="1">
        <v>45556</v>
      </c>
      <c r="C51" s="7">
        <f>YEAR(Table2[[#This Row],[Date]])</f>
        <v>2024</v>
      </c>
      <c r="D51" t="s">
        <v>77</v>
      </c>
      <c r="E51" t="s">
        <v>83</v>
      </c>
      <c r="F51" t="s">
        <v>38</v>
      </c>
      <c r="G51" t="b">
        <v>1</v>
      </c>
      <c r="H51" s="10">
        <v>1</v>
      </c>
      <c r="I51" s="10">
        <v>2</v>
      </c>
      <c r="J51" t="s">
        <v>54</v>
      </c>
      <c r="K51" s="9">
        <v>6557</v>
      </c>
      <c r="L51" t="s">
        <v>115</v>
      </c>
      <c r="M51" t="s">
        <v>61</v>
      </c>
      <c r="N51" s="7">
        <v>14</v>
      </c>
      <c r="O51" s="10">
        <v>0</v>
      </c>
      <c r="P51" s="7">
        <v>0</v>
      </c>
      <c r="Q51" t="s">
        <v>28</v>
      </c>
      <c r="R51" s="9">
        <v>110659</v>
      </c>
      <c r="S51" s="10">
        <v>4.74</v>
      </c>
      <c r="T51" s="9">
        <v>181216.19</v>
      </c>
      <c r="U51" s="6">
        <v>25</v>
      </c>
      <c r="V51" t="s">
        <v>29</v>
      </c>
    </row>
    <row r="52" spans="1:22" x14ac:dyDescent="0.25">
      <c r="A52" t="s">
        <v>147</v>
      </c>
      <c r="B52" s="1">
        <v>45547</v>
      </c>
      <c r="C52" s="7">
        <f>YEAR(Table2[[#This Row],[Date]])</f>
        <v>2024</v>
      </c>
      <c r="D52" t="s">
        <v>89</v>
      </c>
      <c r="E52" t="s">
        <v>37</v>
      </c>
      <c r="F52" t="s">
        <v>44</v>
      </c>
      <c r="G52" t="b">
        <v>1</v>
      </c>
      <c r="H52" s="10">
        <v>3</v>
      </c>
      <c r="I52" s="10">
        <v>2</v>
      </c>
      <c r="J52" t="s">
        <v>25</v>
      </c>
      <c r="K52" s="9">
        <v>48103</v>
      </c>
      <c r="L52" t="s">
        <v>26</v>
      </c>
      <c r="M52" t="s">
        <v>27</v>
      </c>
      <c r="N52" s="7">
        <v>44</v>
      </c>
      <c r="O52" s="10">
        <v>2</v>
      </c>
      <c r="P52" s="7">
        <v>1</v>
      </c>
      <c r="Q52" t="s">
        <v>41</v>
      </c>
      <c r="R52" s="9">
        <v>108097</v>
      </c>
      <c r="S52" s="10">
        <v>4.68</v>
      </c>
      <c r="T52" s="9">
        <v>32654.15</v>
      </c>
      <c r="U52" s="6">
        <v>49</v>
      </c>
      <c r="V52" t="s">
        <v>29</v>
      </c>
    </row>
    <row r="53" spans="1:22" x14ac:dyDescent="0.25">
      <c r="A53" t="s">
        <v>148</v>
      </c>
      <c r="B53" s="1">
        <v>45637</v>
      </c>
      <c r="C53" s="7">
        <f>YEAR(Table2[[#This Row],[Date]])</f>
        <v>2024</v>
      </c>
      <c r="D53" t="s">
        <v>53</v>
      </c>
      <c r="E53" t="s">
        <v>32</v>
      </c>
      <c r="F53" t="s">
        <v>38</v>
      </c>
      <c r="G53" t="b">
        <v>1</v>
      </c>
      <c r="H53" s="10">
        <v>2</v>
      </c>
      <c r="I53" s="10">
        <v>3</v>
      </c>
      <c r="J53" t="s">
        <v>54</v>
      </c>
      <c r="K53" s="9">
        <v>52580</v>
      </c>
      <c r="L53" t="s">
        <v>149</v>
      </c>
      <c r="M53" t="s">
        <v>61</v>
      </c>
      <c r="N53" s="7">
        <v>10</v>
      </c>
      <c r="O53" s="10">
        <v>1</v>
      </c>
      <c r="P53" s="7">
        <v>1</v>
      </c>
      <c r="Q53" t="s">
        <v>51</v>
      </c>
      <c r="R53" s="9">
        <v>107293</v>
      </c>
      <c r="S53" s="10">
        <v>6.35</v>
      </c>
      <c r="T53" s="9">
        <v>89057.94</v>
      </c>
      <c r="U53" s="6">
        <v>19</v>
      </c>
      <c r="V53" t="s">
        <v>42</v>
      </c>
    </row>
    <row r="54" spans="1:22" x14ac:dyDescent="0.25">
      <c r="A54" t="s">
        <v>150</v>
      </c>
      <c r="B54" s="1">
        <v>45380</v>
      </c>
      <c r="C54" s="7">
        <f>YEAR(Table2[[#This Row],[Date]])</f>
        <v>2024</v>
      </c>
      <c r="D54" t="s">
        <v>69</v>
      </c>
      <c r="E54" t="s">
        <v>66</v>
      </c>
      <c r="F54" t="s">
        <v>38</v>
      </c>
      <c r="G54" t="b">
        <v>1</v>
      </c>
      <c r="H54" s="10">
        <v>4</v>
      </c>
      <c r="I54" s="10">
        <v>3</v>
      </c>
      <c r="J54" t="s">
        <v>25</v>
      </c>
      <c r="K54" s="9">
        <v>32581</v>
      </c>
      <c r="L54" t="s">
        <v>151</v>
      </c>
      <c r="M54" t="s">
        <v>27</v>
      </c>
      <c r="N54" s="7">
        <v>76</v>
      </c>
      <c r="O54" s="10">
        <v>0</v>
      </c>
      <c r="P54" s="7">
        <v>1</v>
      </c>
      <c r="Q54" t="s">
        <v>51</v>
      </c>
      <c r="R54" s="9">
        <v>46217</v>
      </c>
      <c r="S54" s="10">
        <v>3</v>
      </c>
      <c r="T54" s="9">
        <v>143335.9</v>
      </c>
      <c r="U54" s="6">
        <v>25</v>
      </c>
      <c r="V54" t="s">
        <v>152</v>
      </c>
    </row>
    <row r="55" spans="1:22" x14ac:dyDescent="0.25">
      <c r="A55" t="s">
        <v>153</v>
      </c>
      <c r="B55" s="1">
        <v>45967</v>
      </c>
      <c r="C55" s="7">
        <f>YEAR(Table2[[#This Row],[Date]])</f>
        <v>2025</v>
      </c>
      <c r="D55" t="s">
        <v>89</v>
      </c>
      <c r="E55" t="s">
        <v>72</v>
      </c>
      <c r="F55" t="s">
        <v>24</v>
      </c>
      <c r="G55" t="b">
        <v>0</v>
      </c>
      <c r="H55" s="10">
        <v>1</v>
      </c>
      <c r="I55" s="10">
        <v>1</v>
      </c>
      <c r="J55" t="s">
        <v>39</v>
      </c>
      <c r="K55" s="9">
        <v>27628</v>
      </c>
      <c r="L55" t="s">
        <v>95</v>
      </c>
      <c r="M55" t="s">
        <v>61</v>
      </c>
      <c r="N55" s="7">
        <v>61</v>
      </c>
      <c r="O55" s="10">
        <v>0</v>
      </c>
      <c r="P55" s="7">
        <v>1</v>
      </c>
      <c r="Q55" t="s">
        <v>81</v>
      </c>
      <c r="R55" s="9">
        <v>10229</v>
      </c>
      <c r="S55" s="10">
        <v>2.73</v>
      </c>
      <c r="T55" s="9">
        <v>107287.16</v>
      </c>
      <c r="U55" s="6">
        <v>18</v>
      </c>
      <c r="V55" t="s">
        <v>29</v>
      </c>
    </row>
    <row r="56" spans="1:22" x14ac:dyDescent="0.25">
      <c r="A56" t="s">
        <v>154</v>
      </c>
      <c r="B56" s="1">
        <v>45671</v>
      </c>
      <c r="C56" s="7">
        <f>YEAR(Table2[[#This Row],[Date]])</f>
        <v>2025</v>
      </c>
      <c r="D56" t="s">
        <v>69</v>
      </c>
      <c r="E56" t="s">
        <v>72</v>
      </c>
      <c r="F56" t="s">
        <v>24</v>
      </c>
      <c r="G56" t="b">
        <v>1</v>
      </c>
      <c r="H56" s="10">
        <v>5</v>
      </c>
      <c r="I56" s="10">
        <v>3</v>
      </c>
      <c r="J56" t="s">
        <v>25</v>
      </c>
      <c r="K56" s="9">
        <v>35428</v>
      </c>
      <c r="L56" t="s">
        <v>155</v>
      </c>
      <c r="M56" t="s">
        <v>34</v>
      </c>
      <c r="N56" s="7">
        <v>58</v>
      </c>
      <c r="O56" s="10">
        <v>0</v>
      </c>
      <c r="P56" s="7">
        <v>0</v>
      </c>
      <c r="Q56" t="s">
        <v>51</v>
      </c>
      <c r="R56" s="9">
        <v>74845</v>
      </c>
      <c r="S56" s="10">
        <v>3.64</v>
      </c>
      <c r="T56" s="9">
        <v>35766.01</v>
      </c>
      <c r="U56" s="6">
        <v>46</v>
      </c>
      <c r="V56" t="s">
        <v>42</v>
      </c>
    </row>
    <row r="57" spans="1:22" x14ac:dyDescent="0.25">
      <c r="A57" t="s">
        <v>156</v>
      </c>
      <c r="B57" s="1">
        <v>45734</v>
      </c>
      <c r="C57" s="7">
        <f>YEAR(Table2[[#This Row],[Date]])</f>
        <v>2025</v>
      </c>
      <c r="D57" t="s">
        <v>36</v>
      </c>
      <c r="E57" t="s">
        <v>83</v>
      </c>
      <c r="F57" t="s">
        <v>24</v>
      </c>
      <c r="G57" t="b">
        <v>0</v>
      </c>
      <c r="H57" s="10">
        <v>1</v>
      </c>
      <c r="I57" s="10">
        <v>3</v>
      </c>
      <c r="J57" t="s">
        <v>54</v>
      </c>
      <c r="K57" s="9">
        <v>23843</v>
      </c>
      <c r="L57" t="s">
        <v>157</v>
      </c>
      <c r="M57" t="s">
        <v>50</v>
      </c>
      <c r="N57" s="7">
        <v>17</v>
      </c>
      <c r="O57" s="10">
        <v>2</v>
      </c>
      <c r="P57" s="7">
        <v>0</v>
      </c>
      <c r="Q57" t="s">
        <v>81</v>
      </c>
      <c r="R57" s="9">
        <v>47561</v>
      </c>
      <c r="S57" s="10">
        <v>2.0699999999999998</v>
      </c>
      <c r="T57" s="9">
        <v>145219.42000000001</v>
      </c>
      <c r="U57" s="6">
        <v>49</v>
      </c>
      <c r="V57" t="s">
        <v>29</v>
      </c>
    </row>
    <row r="58" spans="1:22" x14ac:dyDescent="0.25">
      <c r="A58" t="s">
        <v>158</v>
      </c>
      <c r="B58" s="1">
        <v>45625</v>
      </c>
      <c r="C58" s="7">
        <f>YEAR(Table2[[#This Row],[Date]])</f>
        <v>2024</v>
      </c>
      <c r="D58" t="s">
        <v>31</v>
      </c>
      <c r="E58" t="s">
        <v>83</v>
      </c>
      <c r="F58" t="s">
        <v>38</v>
      </c>
      <c r="G58" t="b">
        <v>0</v>
      </c>
      <c r="H58" s="10">
        <v>0</v>
      </c>
      <c r="I58" s="10">
        <v>3</v>
      </c>
      <c r="J58" t="s">
        <v>54</v>
      </c>
      <c r="K58" s="9">
        <v>22717</v>
      </c>
      <c r="L58" t="s">
        <v>159</v>
      </c>
      <c r="M58" t="s">
        <v>50</v>
      </c>
      <c r="N58" s="7">
        <v>71</v>
      </c>
      <c r="O58" s="10">
        <v>1</v>
      </c>
      <c r="P58" s="7">
        <v>1</v>
      </c>
      <c r="Q58" t="s">
        <v>51</v>
      </c>
      <c r="R58" s="9">
        <v>40596</v>
      </c>
      <c r="S58" s="10">
        <v>2.0099999999999998</v>
      </c>
      <c r="T58" s="9">
        <v>118546.74</v>
      </c>
      <c r="U58" s="6">
        <v>40</v>
      </c>
      <c r="V58" t="s">
        <v>29</v>
      </c>
    </row>
    <row r="59" spans="1:22" x14ac:dyDescent="0.25">
      <c r="A59" t="s">
        <v>160</v>
      </c>
      <c r="B59" s="1">
        <v>45703</v>
      </c>
      <c r="C59" s="7">
        <f>YEAR(Table2[[#This Row],[Date]])</f>
        <v>2025</v>
      </c>
      <c r="D59" t="s">
        <v>89</v>
      </c>
      <c r="E59" t="s">
        <v>32</v>
      </c>
      <c r="F59" t="s">
        <v>44</v>
      </c>
      <c r="G59" t="b">
        <v>0</v>
      </c>
      <c r="H59" s="10">
        <v>1</v>
      </c>
      <c r="I59" s="10">
        <v>0</v>
      </c>
      <c r="J59" t="s">
        <v>25</v>
      </c>
      <c r="K59" s="9">
        <v>8437</v>
      </c>
      <c r="L59" t="s">
        <v>161</v>
      </c>
      <c r="M59" t="s">
        <v>50</v>
      </c>
      <c r="N59" s="7">
        <v>78</v>
      </c>
      <c r="O59" s="10">
        <v>0</v>
      </c>
      <c r="P59" s="7">
        <v>1</v>
      </c>
      <c r="Q59" t="s">
        <v>46</v>
      </c>
      <c r="R59" s="9">
        <v>26611</v>
      </c>
      <c r="S59" s="10">
        <v>8.49</v>
      </c>
      <c r="T59" s="9">
        <v>148664.44</v>
      </c>
      <c r="U59" s="6">
        <v>55</v>
      </c>
      <c r="V59" t="s">
        <v>29</v>
      </c>
    </row>
    <row r="60" spans="1:22" x14ac:dyDescent="0.25">
      <c r="A60" t="s">
        <v>162</v>
      </c>
      <c r="B60" s="1">
        <v>45393</v>
      </c>
      <c r="C60" s="7">
        <f>YEAR(Table2[[#This Row],[Date]])</f>
        <v>2024</v>
      </c>
      <c r="D60" t="s">
        <v>77</v>
      </c>
      <c r="E60" t="s">
        <v>72</v>
      </c>
      <c r="F60" t="s">
        <v>38</v>
      </c>
      <c r="G60" t="b">
        <v>1</v>
      </c>
      <c r="H60" s="10">
        <v>2</v>
      </c>
      <c r="I60" s="10">
        <v>3</v>
      </c>
      <c r="J60" t="s">
        <v>54</v>
      </c>
      <c r="K60" s="9">
        <v>28359</v>
      </c>
      <c r="L60" t="s">
        <v>163</v>
      </c>
      <c r="M60" t="s">
        <v>50</v>
      </c>
      <c r="N60" s="7">
        <v>69</v>
      </c>
      <c r="O60" s="10">
        <v>0</v>
      </c>
      <c r="P60" s="7">
        <v>0</v>
      </c>
      <c r="Q60" t="s">
        <v>51</v>
      </c>
      <c r="R60" s="9">
        <v>72724</v>
      </c>
      <c r="S60" s="10">
        <v>4.32</v>
      </c>
      <c r="T60" s="9">
        <v>142833.29999999999</v>
      </c>
      <c r="U60" s="6">
        <v>20</v>
      </c>
      <c r="V60" t="s">
        <v>42</v>
      </c>
    </row>
    <row r="61" spans="1:22" x14ac:dyDescent="0.25">
      <c r="A61" t="s">
        <v>164</v>
      </c>
      <c r="B61" s="1">
        <v>45603</v>
      </c>
      <c r="C61" s="7">
        <f>YEAR(Table2[[#This Row],[Date]])</f>
        <v>2024</v>
      </c>
      <c r="D61" t="s">
        <v>77</v>
      </c>
      <c r="E61" t="s">
        <v>66</v>
      </c>
      <c r="F61" t="s">
        <v>44</v>
      </c>
      <c r="G61" t="b">
        <v>0</v>
      </c>
      <c r="H61" s="10">
        <v>5</v>
      </c>
      <c r="I61" s="10">
        <v>2</v>
      </c>
      <c r="J61" t="s">
        <v>25</v>
      </c>
      <c r="K61" s="9">
        <v>16506</v>
      </c>
      <c r="L61" t="s">
        <v>78</v>
      </c>
      <c r="M61" t="s">
        <v>34</v>
      </c>
      <c r="N61" s="7">
        <v>62</v>
      </c>
      <c r="O61" s="10">
        <v>0</v>
      </c>
      <c r="P61" s="7">
        <v>1</v>
      </c>
      <c r="Q61" t="s">
        <v>46</v>
      </c>
      <c r="R61" s="9">
        <v>41158</v>
      </c>
      <c r="S61" s="10">
        <v>6.53</v>
      </c>
      <c r="T61" s="9">
        <v>246811.41</v>
      </c>
      <c r="U61" s="6">
        <v>56</v>
      </c>
      <c r="V61" t="s">
        <v>29</v>
      </c>
    </row>
    <row r="62" spans="1:22" x14ac:dyDescent="0.25">
      <c r="A62" t="s">
        <v>165</v>
      </c>
      <c r="B62" s="1">
        <v>45804</v>
      </c>
      <c r="C62" s="7">
        <f>YEAR(Table2[[#This Row],[Date]])</f>
        <v>2025</v>
      </c>
      <c r="D62" t="s">
        <v>53</v>
      </c>
      <c r="E62" t="s">
        <v>83</v>
      </c>
      <c r="F62" t="s">
        <v>44</v>
      </c>
      <c r="G62" t="b">
        <v>0</v>
      </c>
      <c r="H62" s="10">
        <v>2</v>
      </c>
      <c r="I62" s="10">
        <v>2</v>
      </c>
      <c r="J62" t="s">
        <v>39</v>
      </c>
      <c r="K62" s="9">
        <v>14406</v>
      </c>
      <c r="L62" t="s">
        <v>111</v>
      </c>
      <c r="M62" t="s">
        <v>27</v>
      </c>
      <c r="N62" s="7">
        <v>32</v>
      </c>
      <c r="O62" s="10">
        <v>0</v>
      </c>
      <c r="P62" s="7">
        <v>0</v>
      </c>
      <c r="Q62" t="s">
        <v>87</v>
      </c>
      <c r="R62" s="9">
        <v>96929</v>
      </c>
      <c r="S62" s="10">
        <v>5.77</v>
      </c>
      <c r="T62" s="9">
        <v>163777.93</v>
      </c>
      <c r="U62" s="6">
        <v>25</v>
      </c>
      <c r="V62" t="s">
        <v>42</v>
      </c>
    </row>
    <row r="63" spans="1:22" x14ac:dyDescent="0.25">
      <c r="A63" t="s">
        <v>168</v>
      </c>
      <c r="B63" s="1">
        <v>45342</v>
      </c>
      <c r="C63" s="7">
        <f>YEAR(Table2[[#This Row],[Date]])</f>
        <v>2024</v>
      </c>
      <c r="D63" t="s">
        <v>89</v>
      </c>
      <c r="E63" t="s">
        <v>32</v>
      </c>
      <c r="F63" t="s">
        <v>44</v>
      </c>
      <c r="G63" t="b">
        <v>1</v>
      </c>
      <c r="H63" s="10">
        <v>1</v>
      </c>
      <c r="I63" s="10">
        <v>4</v>
      </c>
      <c r="J63" t="s">
        <v>54</v>
      </c>
      <c r="K63" s="9">
        <v>42009</v>
      </c>
      <c r="L63" t="s">
        <v>169</v>
      </c>
      <c r="M63" t="s">
        <v>27</v>
      </c>
      <c r="N63" s="7">
        <v>42</v>
      </c>
      <c r="O63" s="10">
        <v>0</v>
      </c>
      <c r="P63" s="7">
        <v>0</v>
      </c>
      <c r="Q63" t="s">
        <v>87</v>
      </c>
      <c r="R63" s="9">
        <v>47945</v>
      </c>
      <c r="S63" s="10">
        <v>5.05</v>
      </c>
      <c r="T63" s="9">
        <v>166178.98000000001</v>
      </c>
      <c r="U63" s="6">
        <v>64</v>
      </c>
      <c r="V63" t="s">
        <v>29</v>
      </c>
    </row>
    <row r="64" spans="1:22" x14ac:dyDescent="0.25">
      <c r="A64" t="s">
        <v>170</v>
      </c>
      <c r="B64" s="1">
        <v>45462</v>
      </c>
      <c r="C64" s="7">
        <f>YEAR(Table2[[#This Row],[Date]])</f>
        <v>2024</v>
      </c>
      <c r="D64" t="s">
        <v>97</v>
      </c>
      <c r="E64" t="s">
        <v>23</v>
      </c>
      <c r="F64" t="s">
        <v>38</v>
      </c>
      <c r="G64" t="b">
        <v>0</v>
      </c>
      <c r="H64" s="10">
        <v>2</v>
      </c>
      <c r="I64" s="10">
        <v>3</v>
      </c>
      <c r="J64" t="s">
        <v>54</v>
      </c>
      <c r="K64" s="9">
        <v>8453</v>
      </c>
      <c r="L64" t="s">
        <v>118</v>
      </c>
      <c r="M64" t="s">
        <v>27</v>
      </c>
      <c r="N64" s="7">
        <v>76</v>
      </c>
      <c r="O64" s="10">
        <v>2</v>
      </c>
      <c r="P64" s="7">
        <v>1</v>
      </c>
      <c r="Q64" t="s">
        <v>62</v>
      </c>
      <c r="R64" s="9">
        <v>121255</v>
      </c>
      <c r="S64" s="10">
        <v>3.73</v>
      </c>
      <c r="T64" s="9">
        <v>51728.82</v>
      </c>
      <c r="U64" s="6">
        <v>37</v>
      </c>
      <c r="V64" t="s">
        <v>29</v>
      </c>
    </row>
    <row r="65" spans="1:22" x14ac:dyDescent="0.25">
      <c r="A65" t="s">
        <v>171</v>
      </c>
      <c r="B65" s="1">
        <v>45803</v>
      </c>
      <c r="C65" s="7">
        <f>YEAR(Table2[[#This Row],[Date]])</f>
        <v>2025</v>
      </c>
      <c r="D65" t="s">
        <v>36</v>
      </c>
      <c r="E65" t="s">
        <v>48</v>
      </c>
      <c r="F65" t="s">
        <v>38</v>
      </c>
      <c r="G65" t="b">
        <v>0</v>
      </c>
      <c r="H65" s="10">
        <v>4</v>
      </c>
      <c r="I65" s="10">
        <v>1</v>
      </c>
      <c r="J65" t="s">
        <v>25</v>
      </c>
      <c r="K65" s="9">
        <v>23308</v>
      </c>
      <c r="L65" t="s">
        <v>172</v>
      </c>
      <c r="M65" t="s">
        <v>61</v>
      </c>
      <c r="N65" s="7">
        <v>44</v>
      </c>
      <c r="O65" s="10">
        <v>0</v>
      </c>
      <c r="P65" s="7">
        <v>1</v>
      </c>
      <c r="Q65" t="s">
        <v>28</v>
      </c>
      <c r="R65" s="9">
        <v>119002</v>
      </c>
      <c r="S65" s="10">
        <v>4.51</v>
      </c>
      <c r="T65" s="9">
        <v>208606.79</v>
      </c>
      <c r="U65" s="6">
        <v>21</v>
      </c>
      <c r="V65" t="s">
        <v>42</v>
      </c>
    </row>
    <row r="66" spans="1:22" x14ac:dyDescent="0.25">
      <c r="A66" t="s">
        <v>173</v>
      </c>
      <c r="B66" s="1">
        <v>45874</v>
      </c>
      <c r="C66" s="7">
        <f>YEAR(Table2[[#This Row],[Date]])</f>
        <v>2025</v>
      </c>
      <c r="D66" t="s">
        <v>89</v>
      </c>
      <c r="E66" t="s">
        <v>23</v>
      </c>
      <c r="F66" t="s">
        <v>24</v>
      </c>
      <c r="G66" t="b">
        <v>1</v>
      </c>
      <c r="H66" s="10">
        <v>2</v>
      </c>
      <c r="I66" s="10">
        <v>0</v>
      </c>
      <c r="J66" t="s">
        <v>25</v>
      </c>
      <c r="K66" s="9">
        <v>35882</v>
      </c>
      <c r="L66" t="s">
        <v>174</v>
      </c>
      <c r="M66" t="s">
        <v>61</v>
      </c>
      <c r="N66" s="7">
        <v>37</v>
      </c>
      <c r="O66" s="10">
        <v>0</v>
      </c>
      <c r="P66" s="7">
        <v>1</v>
      </c>
      <c r="Q66" t="s">
        <v>28</v>
      </c>
      <c r="R66" s="9">
        <v>140489</v>
      </c>
      <c r="S66" s="10">
        <v>8.93</v>
      </c>
      <c r="T66" s="9">
        <v>201179.45</v>
      </c>
      <c r="U66" s="6">
        <v>31</v>
      </c>
      <c r="V66" t="s">
        <v>42</v>
      </c>
    </row>
    <row r="67" spans="1:22" x14ac:dyDescent="0.25">
      <c r="A67" t="s">
        <v>175</v>
      </c>
      <c r="B67" s="1">
        <v>45487</v>
      </c>
      <c r="C67" s="7">
        <f>YEAR(Table2[[#This Row],[Date]])</f>
        <v>2024</v>
      </c>
      <c r="D67" t="s">
        <v>53</v>
      </c>
      <c r="E67" t="s">
        <v>98</v>
      </c>
      <c r="F67" t="s">
        <v>44</v>
      </c>
      <c r="G67" t="b">
        <v>0</v>
      </c>
      <c r="H67" s="10">
        <v>3</v>
      </c>
      <c r="I67" s="10">
        <v>1</v>
      </c>
      <c r="J67" t="s">
        <v>25</v>
      </c>
      <c r="K67" s="9">
        <v>53940</v>
      </c>
      <c r="L67" t="s">
        <v>176</v>
      </c>
      <c r="M67" t="s">
        <v>50</v>
      </c>
      <c r="N67" s="7">
        <v>31</v>
      </c>
      <c r="O67" s="10">
        <v>0</v>
      </c>
      <c r="P67" s="7">
        <v>1</v>
      </c>
      <c r="Q67" t="s">
        <v>51</v>
      </c>
      <c r="R67" s="9">
        <v>100777</v>
      </c>
      <c r="S67" s="10">
        <v>8.39</v>
      </c>
      <c r="T67" s="9">
        <v>9741.15</v>
      </c>
      <c r="U67" s="6">
        <v>57</v>
      </c>
      <c r="V67" t="s">
        <v>152</v>
      </c>
    </row>
    <row r="68" spans="1:22" x14ac:dyDescent="0.25">
      <c r="A68" t="s">
        <v>177</v>
      </c>
      <c r="B68" s="1">
        <v>45756</v>
      </c>
      <c r="C68" s="7">
        <f>YEAR(Table2[[#This Row],[Date]])</f>
        <v>2025</v>
      </c>
      <c r="D68" t="s">
        <v>69</v>
      </c>
      <c r="E68" t="s">
        <v>66</v>
      </c>
      <c r="F68" t="s">
        <v>38</v>
      </c>
      <c r="G68" t="b">
        <v>1</v>
      </c>
      <c r="H68" s="10">
        <v>2</v>
      </c>
      <c r="I68" s="10">
        <v>3</v>
      </c>
      <c r="J68" t="s">
        <v>54</v>
      </c>
      <c r="K68" s="9">
        <v>37652</v>
      </c>
      <c r="L68" t="s">
        <v>178</v>
      </c>
      <c r="M68" t="s">
        <v>50</v>
      </c>
      <c r="N68" s="7">
        <v>93</v>
      </c>
      <c r="O68" s="10">
        <v>1</v>
      </c>
      <c r="P68" s="7">
        <v>1</v>
      </c>
      <c r="Q68" t="s">
        <v>81</v>
      </c>
      <c r="R68" s="9">
        <v>8678</v>
      </c>
      <c r="S68" s="10">
        <v>8.1</v>
      </c>
      <c r="T68" s="9">
        <v>190112.93</v>
      </c>
      <c r="U68" s="6">
        <v>46</v>
      </c>
      <c r="V68" t="s">
        <v>42</v>
      </c>
    </row>
    <row r="69" spans="1:22" x14ac:dyDescent="0.25">
      <c r="A69" t="s">
        <v>179</v>
      </c>
      <c r="B69" s="1">
        <v>45860</v>
      </c>
      <c r="C69" s="7">
        <f>YEAR(Table2[[#This Row],[Date]])</f>
        <v>2025</v>
      </c>
      <c r="D69" t="s">
        <v>89</v>
      </c>
      <c r="E69" t="s">
        <v>72</v>
      </c>
      <c r="F69" t="s">
        <v>38</v>
      </c>
      <c r="G69" t="b">
        <v>1</v>
      </c>
      <c r="H69" s="10">
        <v>1</v>
      </c>
      <c r="I69" s="10">
        <v>2</v>
      </c>
      <c r="J69" t="s">
        <v>54</v>
      </c>
      <c r="K69" s="9">
        <v>54292</v>
      </c>
      <c r="L69" t="s">
        <v>90</v>
      </c>
      <c r="M69" t="s">
        <v>34</v>
      </c>
      <c r="N69" s="7">
        <v>81</v>
      </c>
      <c r="O69" s="10">
        <v>0</v>
      </c>
      <c r="P69" s="7">
        <v>0</v>
      </c>
      <c r="Q69" t="s">
        <v>41</v>
      </c>
      <c r="R69" s="9">
        <v>127414</v>
      </c>
      <c r="S69" s="10">
        <v>2.2799999999999998</v>
      </c>
      <c r="T69" s="9">
        <v>20303.82</v>
      </c>
      <c r="U69" s="6">
        <v>63</v>
      </c>
      <c r="V69" t="s">
        <v>29</v>
      </c>
    </row>
    <row r="70" spans="1:22" x14ac:dyDescent="0.25">
      <c r="A70" t="s">
        <v>180</v>
      </c>
      <c r="B70" s="1">
        <v>45611</v>
      </c>
      <c r="C70" s="7">
        <f>YEAR(Table2[[#This Row],[Date]])</f>
        <v>2024</v>
      </c>
      <c r="D70" t="s">
        <v>22</v>
      </c>
      <c r="E70" t="s">
        <v>98</v>
      </c>
      <c r="F70" t="s">
        <v>38</v>
      </c>
      <c r="G70" t="b">
        <v>1</v>
      </c>
      <c r="H70" s="10">
        <v>4</v>
      </c>
      <c r="I70" s="10">
        <v>2</v>
      </c>
      <c r="J70" t="s">
        <v>25</v>
      </c>
      <c r="K70" s="9">
        <v>32576</v>
      </c>
      <c r="L70" t="s">
        <v>124</v>
      </c>
      <c r="M70" t="s">
        <v>50</v>
      </c>
      <c r="N70" s="7">
        <v>53</v>
      </c>
      <c r="O70" s="10">
        <v>0</v>
      </c>
      <c r="P70" s="7">
        <v>1</v>
      </c>
      <c r="Q70" t="s">
        <v>81</v>
      </c>
      <c r="R70" s="9">
        <v>26967</v>
      </c>
      <c r="S70" s="10">
        <v>4.03</v>
      </c>
      <c r="T70" s="9">
        <v>167320.54999999999</v>
      </c>
      <c r="U70" s="6">
        <v>55</v>
      </c>
      <c r="V70" t="s">
        <v>42</v>
      </c>
    </row>
    <row r="71" spans="1:22" x14ac:dyDescent="0.25">
      <c r="A71" t="s">
        <v>181</v>
      </c>
      <c r="B71" s="1">
        <v>45546</v>
      </c>
      <c r="C71" s="7">
        <f>YEAR(Table2[[#This Row],[Date]])</f>
        <v>2024</v>
      </c>
      <c r="D71" t="s">
        <v>89</v>
      </c>
      <c r="E71" t="s">
        <v>48</v>
      </c>
      <c r="F71" t="s">
        <v>24</v>
      </c>
      <c r="G71" t="b">
        <v>0</v>
      </c>
      <c r="H71" s="10">
        <v>5</v>
      </c>
      <c r="I71" s="10">
        <v>1</v>
      </c>
      <c r="J71" t="s">
        <v>25</v>
      </c>
      <c r="K71" s="9">
        <v>17654</v>
      </c>
      <c r="L71" t="s">
        <v>60</v>
      </c>
      <c r="M71" t="s">
        <v>50</v>
      </c>
      <c r="N71" s="7">
        <v>94</v>
      </c>
      <c r="O71" s="10">
        <v>1</v>
      </c>
      <c r="P71" s="7">
        <v>0</v>
      </c>
      <c r="Q71" t="s">
        <v>81</v>
      </c>
      <c r="R71" s="9">
        <v>96031</v>
      </c>
      <c r="S71" s="10">
        <v>8.49</v>
      </c>
      <c r="T71" s="9">
        <v>29723.73</v>
      </c>
      <c r="U71" s="6">
        <v>24</v>
      </c>
      <c r="V71" t="s">
        <v>29</v>
      </c>
    </row>
    <row r="72" spans="1:22" x14ac:dyDescent="0.25">
      <c r="A72" t="s">
        <v>182</v>
      </c>
      <c r="B72" s="1">
        <v>45642</v>
      </c>
      <c r="C72" s="7">
        <f>YEAR(Table2[[#This Row],[Date]])</f>
        <v>2024</v>
      </c>
      <c r="D72" t="s">
        <v>31</v>
      </c>
      <c r="E72" t="s">
        <v>98</v>
      </c>
      <c r="F72" t="s">
        <v>38</v>
      </c>
      <c r="G72" t="b">
        <v>1</v>
      </c>
      <c r="H72" s="10">
        <v>0</v>
      </c>
      <c r="I72" s="10">
        <v>2</v>
      </c>
      <c r="J72" t="s">
        <v>54</v>
      </c>
      <c r="K72" s="9">
        <v>12162</v>
      </c>
      <c r="L72" t="s">
        <v>178</v>
      </c>
      <c r="M72" t="s">
        <v>34</v>
      </c>
      <c r="N72" s="7">
        <v>80</v>
      </c>
      <c r="O72" s="10">
        <v>0</v>
      </c>
      <c r="P72" s="7">
        <v>0</v>
      </c>
      <c r="Q72" t="s">
        <v>81</v>
      </c>
      <c r="R72" s="9">
        <v>60666</v>
      </c>
      <c r="S72" s="10">
        <v>6.95</v>
      </c>
      <c r="T72" s="9">
        <v>84173.3</v>
      </c>
      <c r="U72" s="6">
        <v>34</v>
      </c>
      <c r="V72" t="s">
        <v>42</v>
      </c>
    </row>
    <row r="73" spans="1:22" x14ac:dyDescent="0.25">
      <c r="A73" t="s">
        <v>183</v>
      </c>
      <c r="B73" s="1">
        <v>45859</v>
      </c>
      <c r="C73" s="7">
        <f>YEAR(Table2[[#This Row],[Date]])</f>
        <v>2025</v>
      </c>
      <c r="D73" t="s">
        <v>69</v>
      </c>
      <c r="E73" t="s">
        <v>83</v>
      </c>
      <c r="F73" t="s">
        <v>24</v>
      </c>
      <c r="G73" t="b">
        <v>1</v>
      </c>
      <c r="H73" s="10">
        <v>4</v>
      </c>
      <c r="I73" s="10">
        <v>2</v>
      </c>
      <c r="J73" t="s">
        <v>25</v>
      </c>
      <c r="K73" s="9">
        <v>49273</v>
      </c>
      <c r="L73" t="s">
        <v>90</v>
      </c>
      <c r="M73" t="s">
        <v>50</v>
      </c>
      <c r="N73" s="7">
        <v>29</v>
      </c>
      <c r="O73" s="10">
        <v>1</v>
      </c>
      <c r="P73" s="7">
        <v>1</v>
      </c>
      <c r="Q73" t="s">
        <v>46</v>
      </c>
      <c r="R73" s="9">
        <v>104188</v>
      </c>
      <c r="S73" s="10">
        <v>1.78</v>
      </c>
      <c r="T73" s="9">
        <v>8591.06</v>
      </c>
      <c r="U73" s="6">
        <v>63</v>
      </c>
      <c r="V73" t="s">
        <v>42</v>
      </c>
    </row>
    <row r="74" spans="1:22" x14ac:dyDescent="0.25">
      <c r="A74" t="s">
        <v>184</v>
      </c>
      <c r="B74" s="1">
        <v>46022</v>
      </c>
      <c r="C74" s="7">
        <f>YEAR(Table2[[#This Row],[Date]])</f>
        <v>2025</v>
      </c>
      <c r="D74" t="s">
        <v>97</v>
      </c>
      <c r="E74" t="s">
        <v>23</v>
      </c>
      <c r="F74" t="s">
        <v>24</v>
      </c>
      <c r="G74" t="b">
        <v>1</v>
      </c>
      <c r="H74" s="10">
        <v>3</v>
      </c>
      <c r="I74" s="10">
        <v>1</v>
      </c>
      <c r="J74" t="s">
        <v>25</v>
      </c>
      <c r="K74" s="9">
        <v>20027</v>
      </c>
      <c r="L74" t="s">
        <v>57</v>
      </c>
      <c r="M74" t="s">
        <v>27</v>
      </c>
      <c r="N74" s="7">
        <v>29</v>
      </c>
      <c r="O74" s="10">
        <v>1</v>
      </c>
      <c r="P74" s="7">
        <v>0</v>
      </c>
      <c r="Q74" t="s">
        <v>46</v>
      </c>
      <c r="R74" s="9">
        <v>107070</v>
      </c>
      <c r="S74" s="10">
        <v>2.41</v>
      </c>
      <c r="T74" s="9">
        <v>113987.63</v>
      </c>
      <c r="U74" s="6">
        <v>33</v>
      </c>
      <c r="V74" t="s">
        <v>29</v>
      </c>
    </row>
    <row r="75" spans="1:22" x14ac:dyDescent="0.25">
      <c r="A75" t="s">
        <v>185</v>
      </c>
      <c r="B75" s="1">
        <v>45406</v>
      </c>
      <c r="C75" s="7">
        <f>YEAR(Table2[[#This Row],[Date]])</f>
        <v>2024</v>
      </c>
      <c r="D75" t="s">
        <v>31</v>
      </c>
      <c r="E75" t="s">
        <v>72</v>
      </c>
      <c r="F75" t="s">
        <v>24</v>
      </c>
      <c r="G75" t="b">
        <v>0</v>
      </c>
      <c r="H75" s="10">
        <v>5</v>
      </c>
      <c r="I75" s="10">
        <v>1</v>
      </c>
      <c r="J75" t="s">
        <v>25</v>
      </c>
      <c r="K75" s="9">
        <v>33996</v>
      </c>
      <c r="L75" t="s">
        <v>118</v>
      </c>
      <c r="M75" t="s">
        <v>61</v>
      </c>
      <c r="N75" s="7">
        <v>95</v>
      </c>
      <c r="O75" s="10">
        <v>1</v>
      </c>
      <c r="P75" s="7">
        <v>1</v>
      </c>
      <c r="Q75" t="s">
        <v>62</v>
      </c>
      <c r="R75" s="9">
        <v>119984</v>
      </c>
      <c r="S75" s="10">
        <v>1.97</v>
      </c>
      <c r="T75" s="9">
        <v>149962.72</v>
      </c>
      <c r="U75" s="6">
        <v>19</v>
      </c>
      <c r="V75" t="s">
        <v>29</v>
      </c>
    </row>
    <row r="76" spans="1:22" x14ac:dyDescent="0.25">
      <c r="A76" t="s">
        <v>186</v>
      </c>
      <c r="B76" s="1">
        <v>45441</v>
      </c>
      <c r="C76" s="7">
        <f>YEAR(Table2[[#This Row],[Date]])</f>
        <v>2024</v>
      </c>
      <c r="D76" t="s">
        <v>69</v>
      </c>
      <c r="E76" t="s">
        <v>98</v>
      </c>
      <c r="F76" t="s">
        <v>24</v>
      </c>
      <c r="G76" t="b">
        <v>1</v>
      </c>
      <c r="H76" s="10">
        <v>1</v>
      </c>
      <c r="I76" s="10">
        <v>2</v>
      </c>
      <c r="J76" t="s">
        <v>54</v>
      </c>
      <c r="K76" s="9">
        <v>29798</v>
      </c>
      <c r="L76" t="s">
        <v>80</v>
      </c>
      <c r="M76" t="s">
        <v>61</v>
      </c>
      <c r="N76" s="7">
        <v>29</v>
      </c>
      <c r="O76" s="10">
        <v>0</v>
      </c>
      <c r="P76" s="7">
        <v>0</v>
      </c>
      <c r="Q76" t="s">
        <v>51</v>
      </c>
      <c r="R76" s="9">
        <v>44692</v>
      </c>
      <c r="S76" s="10">
        <v>5.0999999999999996</v>
      </c>
      <c r="T76" s="9">
        <v>142103.91</v>
      </c>
      <c r="U76" s="6">
        <v>63</v>
      </c>
      <c r="V76" t="s">
        <v>29</v>
      </c>
    </row>
    <row r="77" spans="1:22" x14ac:dyDescent="0.25">
      <c r="A77" t="s">
        <v>187</v>
      </c>
      <c r="B77" s="1">
        <v>45326</v>
      </c>
      <c r="C77" s="7">
        <f>YEAR(Table2[[#This Row],[Date]])</f>
        <v>2024</v>
      </c>
      <c r="D77" t="s">
        <v>53</v>
      </c>
      <c r="E77" t="s">
        <v>48</v>
      </c>
      <c r="F77" t="s">
        <v>44</v>
      </c>
      <c r="G77" t="b">
        <v>1</v>
      </c>
      <c r="H77" s="10">
        <v>1</v>
      </c>
      <c r="I77" s="10">
        <v>0</v>
      </c>
      <c r="J77" t="s">
        <v>25</v>
      </c>
      <c r="K77" s="9">
        <v>38371</v>
      </c>
      <c r="L77" t="s">
        <v>188</v>
      </c>
      <c r="M77" t="s">
        <v>34</v>
      </c>
      <c r="N77" s="7">
        <v>69</v>
      </c>
      <c r="O77" s="10">
        <v>0</v>
      </c>
      <c r="P77" s="7">
        <v>0</v>
      </c>
      <c r="Q77" t="s">
        <v>46</v>
      </c>
      <c r="R77" s="9">
        <v>52919</v>
      </c>
      <c r="S77" s="10">
        <v>0.9</v>
      </c>
      <c r="T77" s="9">
        <v>94975.05</v>
      </c>
      <c r="U77" s="6">
        <v>28</v>
      </c>
      <c r="V77" t="s">
        <v>42</v>
      </c>
    </row>
    <row r="78" spans="1:22" x14ac:dyDescent="0.25">
      <c r="A78" t="s">
        <v>189</v>
      </c>
      <c r="B78" s="1">
        <v>45870</v>
      </c>
      <c r="C78" s="7">
        <f>YEAR(Table2[[#This Row],[Date]])</f>
        <v>2025</v>
      </c>
      <c r="D78" t="s">
        <v>36</v>
      </c>
      <c r="E78" t="s">
        <v>32</v>
      </c>
      <c r="F78" t="s">
        <v>44</v>
      </c>
      <c r="G78" t="b">
        <v>1</v>
      </c>
      <c r="H78" s="10">
        <v>0</v>
      </c>
      <c r="I78" s="10">
        <v>3</v>
      </c>
      <c r="J78" t="s">
        <v>54</v>
      </c>
      <c r="K78" s="9">
        <v>53037</v>
      </c>
      <c r="L78" t="s">
        <v>190</v>
      </c>
      <c r="M78" t="s">
        <v>50</v>
      </c>
      <c r="N78" s="7">
        <v>34</v>
      </c>
      <c r="O78" s="10">
        <v>0</v>
      </c>
      <c r="P78" s="7">
        <v>2</v>
      </c>
      <c r="Q78" t="s">
        <v>51</v>
      </c>
      <c r="R78" s="9">
        <v>69043</v>
      </c>
      <c r="S78" s="10">
        <v>5.24</v>
      </c>
      <c r="T78" s="9">
        <v>219691.34</v>
      </c>
      <c r="U78" s="6">
        <v>29</v>
      </c>
      <c r="V78" t="s">
        <v>42</v>
      </c>
    </row>
    <row r="79" spans="1:22" x14ac:dyDescent="0.25">
      <c r="A79" t="s">
        <v>191</v>
      </c>
      <c r="B79" s="1">
        <v>45692</v>
      </c>
      <c r="C79" s="7">
        <f>YEAR(Table2[[#This Row],[Date]])</f>
        <v>2025</v>
      </c>
      <c r="D79" t="s">
        <v>69</v>
      </c>
      <c r="E79" t="s">
        <v>72</v>
      </c>
      <c r="F79" t="s">
        <v>44</v>
      </c>
      <c r="G79" t="b">
        <v>0</v>
      </c>
      <c r="H79" s="10">
        <v>2</v>
      </c>
      <c r="I79" s="10">
        <v>0</v>
      </c>
      <c r="J79" t="s">
        <v>25</v>
      </c>
      <c r="K79" s="9">
        <v>16474</v>
      </c>
      <c r="L79" t="s">
        <v>192</v>
      </c>
      <c r="M79" t="s">
        <v>61</v>
      </c>
      <c r="N79" s="7">
        <v>71</v>
      </c>
      <c r="O79" s="10">
        <v>0</v>
      </c>
      <c r="P79" s="7">
        <v>0</v>
      </c>
      <c r="Q79" t="s">
        <v>51</v>
      </c>
      <c r="R79" s="9">
        <v>44207</v>
      </c>
      <c r="S79" s="10">
        <v>6.59</v>
      </c>
      <c r="T79" s="9">
        <v>95306.21</v>
      </c>
      <c r="U79" s="6">
        <v>25</v>
      </c>
      <c r="V79" t="s">
        <v>42</v>
      </c>
    </row>
    <row r="80" spans="1:22" x14ac:dyDescent="0.25">
      <c r="A80" t="s">
        <v>193</v>
      </c>
      <c r="B80" s="1">
        <v>45300</v>
      </c>
      <c r="C80" s="7">
        <f>YEAR(Table2[[#This Row],[Date]])</f>
        <v>2024</v>
      </c>
      <c r="D80" t="s">
        <v>36</v>
      </c>
      <c r="E80" t="s">
        <v>66</v>
      </c>
      <c r="F80" t="s">
        <v>38</v>
      </c>
      <c r="G80" t="b">
        <v>1</v>
      </c>
      <c r="H80" s="10">
        <v>5</v>
      </c>
      <c r="I80" s="10">
        <v>1</v>
      </c>
      <c r="J80" t="s">
        <v>25</v>
      </c>
      <c r="K80" s="9">
        <v>5723</v>
      </c>
      <c r="L80" t="s">
        <v>101</v>
      </c>
      <c r="M80" t="s">
        <v>34</v>
      </c>
      <c r="N80" s="7">
        <v>27</v>
      </c>
      <c r="O80" s="10">
        <v>0</v>
      </c>
      <c r="P80" s="7">
        <v>0</v>
      </c>
      <c r="Q80" t="s">
        <v>41</v>
      </c>
      <c r="R80" s="9">
        <v>77325</v>
      </c>
      <c r="S80" s="10">
        <v>8.57</v>
      </c>
      <c r="T80" s="9">
        <v>165394.95000000001</v>
      </c>
      <c r="U80" s="6">
        <v>46</v>
      </c>
      <c r="V80" t="s">
        <v>42</v>
      </c>
    </row>
    <row r="81" spans="1:22" x14ac:dyDescent="0.25">
      <c r="A81" t="s">
        <v>194</v>
      </c>
      <c r="B81" s="1">
        <v>45832</v>
      </c>
      <c r="C81" s="7">
        <f>YEAR(Table2[[#This Row],[Date]])</f>
        <v>2025</v>
      </c>
      <c r="D81" t="s">
        <v>22</v>
      </c>
      <c r="E81" t="s">
        <v>32</v>
      </c>
      <c r="F81" t="s">
        <v>24</v>
      </c>
      <c r="G81" t="b">
        <v>1</v>
      </c>
      <c r="H81" s="10">
        <v>0</v>
      </c>
      <c r="I81" s="10">
        <v>0</v>
      </c>
      <c r="J81" t="s">
        <v>39</v>
      </c>
      <c r="K81" s="9">
        <v>50601</v>
      </c>
      <c r="L81" t="s">
        <v>195</v>
      </c>
      <c r="M81" t="s">
        <v>27</v>
      </c>
      <c r="N81" s="7">
        <v>59</v>
      </c>
      <c r="O81" s="10">
        <v>1</v>
      </c>
      <c r="P81" s="7">
        <v>1</v>
      </c>
      <c r="Q81" t="s">
        <v>81</v>
      </c>
      <c r="R81" s="9">
        <v>90006</v>
      </c>
      <c r="S81" s="10">
        <v>7.79</v>
      </c>
      <c r="T81" s="9">
        <v>157259.32</v>
      </c>
      <c r="U81" s="6">
        <v>45</v>
      </c>
      <c r="V81" t="s">
        <v>42</v>
      </c>
    </row>
    <row r="82" spans="1:22" x14ac:dyDescent="0.25">
      <c r="A82" t="s">
        <v>196</v>
      </c>
      <c r="B82" s="1">
        <v>45590</v>
      </c>
      <c r="C82" s="7">
        <f>YEAR(Table2[[#This Row],[Date]])</f>
        <v>2024</v>
      </c>
      <c r="D82" t="s">
        <v>77</v>
      </c>
      <c r="E82" t="s">
        <v>23</v>
      </c>
      <c r="F82" t="s">
        <v>44</v>
      </c>
      <c r="G82" t="b">
        <v>0</v>
      </c>
      <c r="H82" s="10">
        <v>2</v>
      </c>
      <c r="I82" s="10">
        <v>1</v>
      </c>
      <c r="J82" t="s">
        <v>25</v>
      </c>
      <c r="K82" s="9">
        <v>8451</v>
      </c>
      <c r="L82" t="s">
        <v>149</v>
      </c>
      <c r="M82" t="s">
        <v>61</v>
      </c>
      <c r="N82" s="7">
        <v>53</v>
      </c>
      <c r="O82" s="10">
        <v>0</v>
      </c>
      <c r="P82" s="7">
        <v>0</v>
      </c>
      <c r="Q82" t="s">
        <v>51</v>
      </c>
      <c r="R82" s="9">
        <v>80671</v>
      </c>
      <c r="S82" s="10">
        <v>3.1</v>
      </c>
      <c r="T82" s="9">
        <v>6170.07</v>
      </c>
      <c r="U82" s="6">
        <v>61</v>
      </c>
      <c r="V82" t="s">
        <v>42</v>
      </c>
    </row>
    <row r="83" spans="1:22" x14ac:dyDescent="0.25">
      <c r="A83" t="s">
        <v>197</v>
      </c>
      <c r="B83" s="1">
        <v>45361</v>
      </c>
      <c r="C83" s="7">
        <f>YEAR(Table2[[#This Row],[Date]])</f>
        <v>2024</v>
      </c>
      <c r="D83" t="s">
        <v>77</v>
      </c>
      <c r="E83" t="s">
        <v>98</v>
      </c>
      <c r="F83" t="s">
        <v>38</v>
      </c>
      <c r="G83" t="b">
        <v>0</v>
      </c>
      <c r="H83" s="10">
        <v>4</v>
      </c>
      <c r="I83" s="10">
        <v>4</v>
      </c>
      <c r="J83" t="s">
        <v>39</v>
      </c>
      <c r="K83" s="9">
        <v>12766</v>
      </c>
      <c r="L83" t="s">
        <v>198</v>
      </c>
      <c r="M83" t="s">
        <v>27</v>
      </c>
      <c r="N83" s="7">
        <v>55</v>
      </c>
      <c r="O83" s="10">
        <v>0</v>
      </c>
      <c r="P83" s="7">
        <v>0</v>
      </c>
      <c r="Q83" t="s">
        <v>51</v>
      </c>
      <c r="R83" s="9">
        <v>97691</v>
      </c>
      <c r="S83" s="10">
        <v>3.16</v>
      </c>
      <c r="T83" s="9">
        <v>30664.18</v>
      </c>
      <c r="U83" s="6">
        <v>32</v>
      </c>
      <c r="V83" t="s">
        <v>29</v>
      </c>
    </row>
    <row r="84" spans="1:22" x14ac:dyDescent="0.25">
      <c r="A84" t="s">
        <v>199</v>
      </c>
      <c r="B84" s="1">
        <v>45847</v>
      </c>
      <c r="C84" s="7">
        <f>YEAR(Table2[[#This Row],[Date]])</f>
        <v>2025</v>
      </c>
      <c r="D84" t="s">
        <v>31</v>
      </c>
      <c r="E84" t="s">
        <v>72</v>
      </c>
      <c r="F84" t="s">
        <v>24</v>
      </c>
      <c r="G84" t="b">
        <v>1</v>
      </c>
      <c r="H84" s="10">
        <v>2</v>
      </c>
      <c r="I84" s="10">
        <v>3</v>
      </c>
      <c r="J84" t="s">
        <v>54</v>
      </c>
      <c r="K84" s="9">
        <v>50003</v>
      </c>
      <c r="L84" t="s">
        <v>200</v>
      </c>
      <c r="M84" t="s">
        <v>27</v>
      </c>
      <c r="N84" s="7">
        <v>95</v>
      </c>
      <c r="O84" s="10">
        <v>0</v>
      </c>
      <c r="P84" s="7">
        <v>1</v>
      </c>
      <c r="Q84" t="s">
        <v>62</v>
      </c>
      <c r="R84" s="9">
        <v>124226</v>
      </c>
      <c r="S84" s="10">
        <v>3.57</v>
      </c>
      <c r="T84" s="9">
        <v>70997.440000000002</v>
      </c>
      <c r="U84" s="6">
        <v>23</v>
      </c>
      <c r="V84" t="s">
        <v>42</v>
      </c>
    </row>
    <row r="85" spans="1:22" x14ac:dyDescent="0.25">
      <c r="A85" t="s">
        <v>201</v>
      </c>
      <c r="B85" s="1">
        <v>45530</v>
      </c>
      <c r="C85" s="7">
        <f>YEAR(Table2[[#This Row],[Date]])</f>
        <v>2024</v>
      </c>
      <c r="D85" t="s">
        <v>69</v>
      </c>
      <c r="E85" t="s">
        <v>72</v>
      </c>
      <c r="F85" t="s">
        <v>38</v>
      </c>
      <c r="G85" t="b">
        <v>1</v>
      </c>
      <c r="H85" s="10">
        <v>5</v>
      </c>
      <c r="I85" s="10">
        <v>4</v>
      </c>
      <c r="J85" t="s">
        <v>25</v>
      </c>
      <c r="K85" s="9">
        <v>26324</v>
      </c>
      <c r="L85" t="s">
        <v>202</v>
      </c>
      <c r="M85" t="s">
        <v>27</v>
      </c>
      <c r="N85" s="7">
        <v>70</v>
      </c>
      <c r="O85" s="10">
        <v>0</v>
      </c>
      <c r="P85" s="7">
        <v>0</v>
      </c>
      <c r="Q85" t="s">
        <v>41</v>
      </c>
      <c r="R85" s="9">
        <v>94273</v>
      </c>
      <c r="S85" s="10">
        <v>3.27</v>
      </c>
      <c r="T85" s="9">
        <v>39817.019999999997</v>
      </c>
      <c r="U85" s="6">
        <v>63</v>
      </c>
      <c r="V85" t="s">
        <v>42</v>
      </c>
    </row>
    <row r="86" spans="1:22" x14ac:dyDescent="0.25">
      <c r="A86" t="s">
        <v>203</v>
      </c>
      <c r="B86" s="1">
        <v>45651</v>
      </c>
      <c r="C86" s="7">
        <f>YEAR(Table2[[#This Row],[Date]])</f>
        <v>2024</v>
      </c>
      <c r="D86" t="s">
        <v>97</v>
      </c>
      <c r="E86" t="s">
        <v>66</v>
      </c>
      <c r="F86" t="s">
        <v>24</v>
      </c>
      <c r="G86" t="b">
        <v>1</v>
      </c>
      <c r="H86" s="10">
        <v>3</v>
      </c>
      <c r="I86" s="10">
        <v>2</v>
      </c>
      <c r="J86" t="s">
        <v>25</v>
      </c>
      <c r="K86" s="9">
        <v>31827</v>
      </c>
      <c r="L86" t="s">
        <v>121</v>
      </c>
      <c r="M86" t="s">
        <v>50</v>
      </c>
      <c r="N86" s="7">
        <v>93</v>
      </c>
      <c r="O86" s="10">
        <v>0</v>
      </c>
      <c r="P86" s="7">
        <v>0</v>
      </c>
      <c r="Q86" t="s">
        <v>87</v>
      </c>
      <c r="R86" s="9">
        <v>9899</v>
      </c>
      <c r="S86" s="10">
        <v>8.09</v>
      </c>
      <c r="T86" s="9">
        <v>211790.81</v>
      </c>
      <c r="U86" s="6">
        <v>57</v>
      </c>
      <c r="V86" t="s">
        <v>29</v>
      </c>
    </row>
    <row r="87" spans="1:22" x14ac:dyDescent="0.25">
      <c r="A87" t="s">
        <v>204</v>
      </c>
      <c r="B87" s="1">
        <v>45548</v>
      </c>
      <c r="C87" s="7">
        <f>YEAR(Table2[[#This Row],[Date]])</f>
        <v>2024</v>
      </c>
      <c r="D87" t="s">
        <v>69</v>
      </c>
      <c r="E87" t="s">
        <v>37</v>
      </c>
      <c r="F87" t="s">
        <v>38</v>
      </c>
      <c r="G87" t="b">
        <v>0</v>
      </c>
      <c r="H87" s="10">
        <v>5</v>
      </c>
      <c r="I87" s="10">
        <v>3</v>
      </c>
      <c r="J87" t="s">
        <v>25</v>
      </c>
      <c r="K87" s="9">
        <v>46634</v>
      </c>
      <c r="L87" t="s">
        <v>205</v>
      </c>
      <c r="M87" t="s">
        <v>50</v>
      </c>
      <c r="N87" s="7">
        <v>50</v>
      </c>
      <c r="O87" s="10">
        <v>0</v>
      </c>
      <c r="P87" s="7">
        <v>0</v>
      </c>
      <c r="Q87" t="s">
        <v>28</v>
      </c>
      <c r="R87" s="9">
        <v>136495</v>
      </c>
      <c r="S87" s="10">
        <v>8.5299999999999994</v>
      </c>
      <c r="T87" s="9">
        <v>66266.33</v>
      </c>
      <c r="U87" s="6">
        <v>27</v>
      </c>
      <c r="V87" t="s">
        <v>42</v>
      </c>
    </row>
    <row r="88" spans="1:22" x14ac:dyDescent="0.25">
      <c r="A88" t="s">
        <v>207</v>
      </c>
      <c r="B88" s="1">
        <v>45582</v>
      </c>
      <c r="C88" s="7">
        <f>YEAR(Table2[[#This Row],[Date]])</f>
        <v>2024</v>
      </c>
      <c r="D88" t="s">
        <v>36</v>
      </c>
      <c r="E88" t="s">
        <v>23</v>
      </c>
      <c r="F88" t="s">
        <v>38</v>
      </c>
      <c r="G88" t="b">
        <v>0</v>
      </c>
      <c r="H88" s="10">
        <v>0</v>
      </c>
      <c r="I88" s="10">
        <v>2</v>
      </c>
      <c r="J88" t="s">
        <v>54</v>
      </c>
      <c r="K88" s="9">
        <v>44066</v>
      </c>
      <c r="L88" t="s">
        <v>208</v>
      </c>
      <c r="M88" t="s">
        <v>50</v>
      </c>
      <c r="N88" s="7">
        <v>77</v>
      </c>
      <c r="O88" s="10">
        <v>0</v>
      </c>
      <c r="P88" s="7">
        <v>1</v>
      </c>
      <c r="Q88" t="s">
        <v>81</v>
      </c>
      <c r="R88" s="9">
        <v>96450</v>
      </c>
      <c r="S88" s="10">
        <v>5.07</v>
      </c>
      <c r="T88" s="9">
        <v>41594.089999999997</v>
      </c>
      <c r="U88" s="6">
        <v>47</v>
      </c>
      <c r="V88" t="s">
        <v>29</v>
      </c>
    </row>
    <row r="89" spans="1:22" x14ac:dyDescent="0.25">
      <c r="A89" t="s">
        <v>209</v>
      </c>
      <c r="B89" s="1">
        <v>45795</v>
      </c>
      <c r="C89" s="7">
        <f>YEAR(Table2[[#This Row],[Date]])</f>
        <v>2025</v>
      </c>
      <c r="D89" t="s">
        <v>53</v>
      </c>
      <c r="E89" t="s">
        <v>32</v>
      </c>
      <c r="F89" t="s">
        <v>44</v>
      </c>
      <c r="G89" t="b">
        <v>1</v>
      </c>
      <c r="H89" s="10">
        <v>5</v>
      </c>
      <c r="I89" s="10">
        <v>3</v>
      </c>
      <c r="J89" t="s">
        <v>25</v>
      </c>
      <c r="K89" s="9">
        <v>43600</v>
      </c>
      <c r="L89" t="s">
        <v>75</v>
      </c>
      <c r="M89" t="s">
        <v>61</v>
      </c>
      <c r="N89" s="7">
        <v>77</v>
      </c>
      <c r="O89" s="10">
        <v>0</v>
      </c>
      <c r="P89" s="7">
        <v>0</v>
      </c>
      <c r="Q89" t="s">
        <v>62</v>
      </c>
      <c r="R89" s="9">
        <v>71283</v>
      </c>
      <c r="S89" s="10">
        <v>7.23</v>
      </c>
      <c r="T89" s="9">
        <v>11069.5</v>
      </c>
      <c r="U89" s="6">
        <v>33</v>
      </c>
      <c r="V89" t="s">
        <v>42</v>
      </c>
    </row>
    <row r="90" spans="1:22" x14ac:dyDescent="0.25">
      <c r="A90" t="s">
        <v>210</v>
      </c>
      <c r="B90" s="1">
        <v>45869</v>
      </c>
      <c r="C90" s="7">
        <f>YEAR(Table2[[#This Row],[Date]])</f>
        <v>2025</v>
      </c>
      <c r="D90" t="s">
        <v>31</v>
      </c>
      <c r="E90" t="s">
        <v>48</v>
      </c>
      <c r="F90" t="s">
        <v>38</v>
      </c>
      <c r="G90" t="b">
        <v>1</v>
      </c>
      <c r="H90" s="10">
        <v>2</v>
      </c>
      <c r="I90" s="10">
        <v>2</v>
      </c>
      <c r="J90" t="s">
        <v>39</v>
      </c>
      <c r="K90" s="9">
        <v>44022</v>
      </c>
      <c r="L90" t="s">
        <v>111</v>
      </c>
      <c r="M90" t="s">
        <v>61</v>
      </c>
      <c r="N90" s="7">
        <v>20</v>
      </c>
      <c r="O90" s="10">
        <v>1</v>
      </c>
      <c r="P90" s="7">
        <v>0</v>
      </c>
      <c r="Q90" t="s">
        <v>87</v>
      </c>
      <c r="R90" s="9">
        <v>39979</v>
      </c>
      <c r="S90" s="10">
        <v>5.13</v>
      </c>
      <c r="T90" s="9">
        <v>108173.67</v>
      </c>
      <c r="U90" s="6">
        <v>46</v>
      </c>
      <c r="V90" t="s">
        <v>42</v>
      </c>
    </row>
    <row r="91" spans="1:22" x14ac:dyDescent="0.25">
      <c r="A91" t="s">
        <v>211</v>
      </c>
      <c r="B91" s="1">
        <v>45605</v>
      </c>
      <c r="C91" s="7">
        <f>YEAR(Table2[[#This Row],[Date]])</f>
        <v>2024</v>
      </c>
      <c r="D91" t="s">
        <v>69</v>
      </c>
      <c r="E91" t="s">
        <v>83</v>
      </c>
      <c r="F91" t="s">
        <v>24</v>
      </c>
      <c r="G91" t="b">
        <v>0</v>
      </c>
      <c r="H91" s="10">
        <v>5</v>
      </c>
      <c r="I91" s="10">
        <v>3</v>
      </c>
      <c r="J91" t="s">
        <v>25</v>
      </c>
      <c r="K91" s="9">
        <v>28237</v>
      </c>
      <c r="L91" t="s">
        <v>212</v>
      </c>
      <c r="M91" t="s">
        <v>61</v>
      </c>
      <c r="N91" s="7">
        <v>51</v>
      </c>
      <c r="O91" s="10">
        <v>1</v>
      </c>
      <c r="P91" s="7">
        <v>1</v>
      </c>
      <c r="Q91" t="s">
        <v>62</v>
      </c>
      <c r="R91" s="9">
        <v>122544</v>
      </c>
      <c r="S91" s="10">
        <v>7.38</v>
      </c>
      <c r="T91" s="9">
        <v>79523.210000000006</v>
      </c>
      <c r="U91" s="6">
        <v>26</v>
      </c>
      <c r="V91" t="s">
        <v>29</v>
      </c>
    </row>
    <row r="92" spans="1:22" x14ac:dyDescent="0.25">
      <c r="A92" t="s">
        <v>213</v>
      </c>
      <c r="B92" s="1">
        <v>45739</v>
      </c>
      <c r="C92" s="7">
        <f>YEAR(Table2[[#This Row],[Date]])</f>
        <v>2025</v>
      </c>
      <c r="D92" t="s">
        <v>22</v>
      </c>
      <c r="E92" t="s">
        <v>32</v>
      </c>
      <c r="F92" t="s">
        <v>38</v>
      </c>
      <c r="G92" t="b">
        <v>0</v>
      </c>
      <c r="H92" s="10">
        <v>0</v>
      </c>
      <c r="I92" s="10">
        <v>4</v>
      </c>
      <c r="J92" t="s">
        <v>54</v>
      </c>
      <c r="K92" s="9">
        <v>42347</v>
      </c>
      <c r="L92" t="s">
        <v>167</v>
      </c>
      <c r="M92" t="s">
        <v>61</v>
      </c>
      <c r="N92" s="7">
        <v>79</v>
      </c>
      <c r="O92" s="10">
        <v>0</v>
      </c>
      <c r="P92" s="7">
        <v>1</v>
      </c>
      <c r="Q92" t="s">
        <v>87</v>
      </c>
      <c r="R92" s="9">
        <v>60936</v>
      </c>
      <c r="S92" s="10">
        <v>7.73</v>
      </c>
      <c r="T92" s="9">
        <v>59339.44</v>
      </c>
      <c r="U92" s="6">
        <v>54</v>
      </c>
      <c r="V92" t="s">
        <v>42</v>
      </c>
    </row>
    <row r="93" spans="1:22" x14ac:dyDescent="0.25">
      <c r="A93" t="s">
        <v>214</v>
      </c>
      <c r="B93" s="1">
        <v>45967</v>
      </c>
      <c r="C93" s="7">
        <f>YEAR(Table2[[#This Row],[Date]])</f>
        <v>2025</v>
      </c>
      <c r="D93" t="s">
        <v>53</v>
      </c>
      <c r="E93" t="s">
        <v>48</v>
      </c>
      <c r="F93" t="s">
        <v>38</v>
      </c>
      <c r="G93" t="b">
        <v>0</v>
      </c>
      <c r="H93" s="10">
        <v>3</v>
      </c>
      <c r="I93" s="10">
        <v>4</v>
      </c>
      <c r="J93" t="s">
        <v>54</v>
      </c>
      <c r="K93" s="9">
        <v>9943</v>
      </c>
      <c r="L93" t="s">
        <v>129</v>
      </c>
      <c r="M93" t="s">
        <v>34</v>
      </c>
      <c r="N93" s="7">
        <v>52</v>
      </c>
      <c r="O93" s="10">
        <v>0</v>
      </c>
      <c r="P93" s="7">
        <v>1</v>
      </c>
      <c r="Q93" t="s">
        <v>81</v>
      </c>
      <c r="R93" s="9">
        <v>40272</v>
      </c>
      <c r="S93" s="10">
        <v>7.86</v>
      </c>
      <c r="T93" s="9">
        <v>137089.72</v>
      </c>
      <c r="U93" s="6">
        <v>64</v>
      </c>
      <c r="V93" t="s">
        <v>29</v>
      </c>
    </row>
    <row r="94" spans="1:22" x14ac:dyDescent="0.25">
      <c r="A94" t="s">
        <v>216</v>
      </c>
      <c r="B94" s="1">
        <v>45831</v>
      </c>
      <c r="C94" s="7">
        <f>YEAR(Table2[[#This Row],[Date]])</f>
        <v>2025</v>
      </c>
      <c r="D94" t="s">
        <v>22</v>
      </c>
      <c r="E94" t="s">
        <v>23</v>
      </c>
      <c r="F94" t="s">
        <v>24</v>
      </c>
      <c r="G94" t="b">
        <v>0</v>
      </c>
      <c r="H94" s="10">
        <v>3</v>
      </c>
      <c r="I94" s="10">
        <v>2</v>
      </c>
      <c r="J94" t="s">
        <v>25</v>
      </c>
      <c r="K94" s="9">
        <v>27731</v>
      </c>
      <c r="L94" t="s">
        <v>172</v>
      </c>
      <c r="M94" t="s">
        <v>50</v>
      </c>
      <c r="N94" s="7">
        <v>19</v>
      </c>
      <c r="O94" s="10">
        <v>1</v>
      </c>
      <c r="P94" s="7">
        <v>1</v>
      </c>
      <c r="Q94" t="s">
        <v>46</v>
      </c>
      <c r="R94" s="9">
        <v>100859</v>
      </c>
      <c r="S94" s="10">
        <v>1.54</v>
      </c>
      <c r="T94" s="9">
        <v>227483.79</v>
      </c>
      <c r="U94" s="6">
        <v>45</v>
      </c>
      <c r="V94" t="s">
        <v>42</v>
      </c>
    </row>
    <row r="95" spans="1:22" x14ac:dyDescent="0.25">
      <c r="A95" t="s">
        <v>217</v>
      </c>
      <c r="B95" s="1">
        <v>45794</v>
      </c>
      <c r="C95" s="7">
        <f>YEAR(Table2[[#This Row],[Date]])</f>
        <v>2025</v>
      </c>
      <c r="D95" t="s">
        <v>53</v>
      </c>
      <c r="E95" t="s">
        <v>23</v>
      </c>
      <c r="F95" t="s">
        <v>38</v>
      </c>
      <c r="G95" t="b">
        <v>0</v>
      </c>
      <c r="H95" s="10">
        <v>5</v>
      </c>
      <c r="I95" s="10">
        <v>0</v>
      </c>
      <c r="J95" t="s">
        <v>25</v>
      </c>
      <c r="K95" s="9">
        <v>20211</v>
      </c>
      <c r="L95" t="s">
        <v>172</v>
      </c>
      <c r="M95" t="s">
        <v>50</v>
      </c>
      <c r="N95" s="7">
        <v>66</v>
      </c>
      <c r="O95" s="10">
        <v>0</v>
      </c>
      <c r="P95" s="7">
        <v>0</v>
      </c>
      <c r="Q95" t="s">
        <v>51</v>
      </c>
      <c r="R95" s="9">
        <v>53708</v>
      </c>
      <c r="S95" s="10">
        <v>8.23</v>
      </c>
      <c r="T95" s="9">
        <v>66965.899999999994</v>
      </c>
      <c r="U95" s="6">
        <v>39</v>
      </c>
      <c r="V95" t="s">
        <v>42</v>
      </c>
    </row>
    <row r="96" spans="1:22" x14ac:dyDescent="0.25">
      <c r="A96" t="s">
        <v>218</v>
      </c>
      <c r="B96" s="1">
        <v>45512</v>
      </c>
      <c r="C96" s="7">
        <f>YEAR(Table2[[#This Row],[Date]])</f>
        <v>2024</v>
      </c>
      <c r="D96" t="s">
        <v>97</v>
      </c>
      <c r="E96" t="s">
        <v>23</v>
      </c>
      <c r="F96" t="s">
        <v>38</v>
      </c>
      <c r="G96" t="b">
        <v>1</v>
      </c>
      <c r="H96" s="10">
        <v>1</v>
      </c>
      <c r="I96" s="10">
        <v>0</v>
      </c>
      <c r="J96" t="s">
        <v>25</v>
      </c>
      <c r="K96" s="9">
        <v>18460</v>
      </c>
      <c r="L96" t="s">
        <v>133</v>
      </c>
      <c r="M96" t="s">
        <v>50</v>
      </c>
      <c r="N96" s="7">
        <v>76</v>
      </c>
      <c r="O96" s="10">
        <v>1</v>
      </c>
      <c r="P96" s="7">
        <v>0</v>
      </c>
      <c r="Q96" t="s">
        <v>41</v>
      </c>
      <c r="R96" s="9">
        <v>113528</v>
      </c>
      <c r="S96" s="10">
        <v>8.9</v>
      </c>
      <c r="T96" s="9">
        <v>58134.76</v>
      </c>
      <c r="U96" s="6">
        <v>42</v>
      </c>
      <c r="V96" t="s">
        <v>29</v>
      </c>
    </row>
    <row r="97" spans="1:22" x14ac:dyDescent="0.25">
      <c r="A97" t="s">
        <v>219</v>
      </c>
      <c r="B97" s="1">
        <v>45509</v>
      </c>
      <c r="C97" s="7">
        <f>YEAR(Table2[[#This Row],[Date]])</f>
        <v>2024</v>
      </c>
      <c r="D97" t="s">
        <v>77</v>
      </c>
      <c r="E97" t="s">
        <v>23</v>
      </c>
      <c r="F97" t="s">
        <v>44</v>
      </c>
      <c r="G97" t="b">
        <v>0</v>
      </c>
      <c r="H97" s="10">
        <v>3</v>
      </c>
      <c r="I97" s="10">
        <v>2</v>
      </c>
      <c r="J97" t="s">
        <v>25</v>
      </c>
      <c r="K97" s="9">
        <v>51516</v>
      </c>
      <c r="L97" t="s">
        <v>60</v>
      </c>
      <c r="M97" t="s">
        <v>61</v>
      </c>
      <c r="N97" s="7">
        <v>70</v>
      </c>
      <c r="O97" s="10">
        <v>1</v>
      </c>
      <c r="P97" s="7">
        <v>2</v>
      </c>
      <c r="Q97" t="s">
        <v>46</v>
      </c>
      <c r="R97" s="9">
        <v>99658</v>
      </c>
      <c r="S97" s="10">
        <v>1.19</v>
      </c>
      <c r="T97" s="9">
        <v>113179.84</v>
      </c>
      <c r="U97" s="6">
        <v>25</v>
      </c>
      <c r="V97" t="s">
        <v>42</v>
      </c>
    </row>
    <row r="98" spans="1:22" x14ac:dyDescent="0.25">
      <c r="A98" t="s">
        <v>220</v>
      </c>
      <c r="B98" s="1">
        <v>45766</v>
      </c>
      <c r="C98" s="7">
        <f>YEAR(Table2[[#This Row],[Date]])</f>
        <v>2025</v>
      </c>
      <c r="D98" t="s">
        <v>89</v>
      </c>
      <c r="E98" t="s">
        <v>98</v>
      </c>
      <c r="F98" t="s">
        <v>38</v>
      </c>
      <c r="G98" t="b">
        <v>1</v>
      </c>
      <c r="H98" s="10">
        <v>2</v>
      </c>
      <c r="I98" s="10">
        <v>3</v>
      </c>
      <c r="J98" t="s">
        <v>54</v>
      </c>
      <c r="K98" s="9">
        <v>28508</v>
      </c>
      <c r="L98" t="s">
        <v>221</v>
      </c>
      <c r="M98" t="s">
        <v>27</v>
      </c>
      <c r="N98" s="7">
        <v>76</v>
      </c>
      <c r="O98" s="10">
        <v>0</v>
      </c>
      <c r="P98" s="7">
        <v>0</v>
      </c>
      <c r="Q98" t="s">
        <v>51</v>
      </c>
      <c r="R98" s="9">
        <v>100997</v>
      </c>
      <c r="S98" s="10">
        <v>2.08</v>
      </c>
      <c r="T98" s="9">
        <v>50078.7</v>
      </c>
      <c r="U98" s="6">
        <v>18</v>
      </c>
      <c r="V98" t="s">
        <v>29</v>
      </c>
    </row>
    <row r="99" spans="1:22" x14ac:dyDescent="0.25">
      <c r="A99" t="s">
        <v>222</v>
      </c>
      <c r="B99" s="1">
        <v>45970</v>
      </c>
      <c r="C99" s="7">
        <f>YEAR(Table2[[#This Row],[Date]])</f>
        <v>2025</v>
      </c>
      <c r="D99" t="s">
        <v>22</v>
      </c>
      <c r="E99" t="s">
        <v>66</v>
      </c>
      <c r="F99" t="s">
        <v>44</v>
      </c>
      <c r="G99" t="b">
        <v>1</v>
      </c>
      <c r="H99" s="10">
        <v>1</v>
      </c>
      <c r="I99" s="10">
        <v>3</v>
      </c>
      <c r="J99" t="s">
        <v>54</v>
      </c>
      <c r="K99" s="9">
        <v>37929</v>
      </c>
      <c r="L99" t="s">
        <v>223</v>
      </c>
      <c r="M99" t="s">
        <v>50</v>
      </c>
      <c r="N99" s="7">
        <v>63</v>
      </c>
      <c r="O99" s="10">
        <v>0</v>
      </c>
      <c r="P99" s="7">
        <v>1</v>
      </c>
      <c r="Q99" t="s">
        <v>51</v>
      </c>
      <c r="R99" s="9">
        <v>125572</v>
      </c>
      <c r="S99" s="10">
        <v>8.75</v>
      </c>
      <c r="T99" s="9">
        <v>111335.11</v>
      </c>
      <c r="U99" s="6">
        <v>26</v>
      </c>
      <c r="V99" t="s">
        <v>29</v>
      </c>
    </row>
    <row r="100" spans="1:22" x14ac:dyDescent="0.25">
      <c r="A100" t="s">
        <v>224</v>
      </c>
      <c r="B100" s="1">
        <v>45356</v>
      </c>
      <c r="C100" s="7">
        <f>YEAR(Table2[[#This Row],[Date]])</f>
        <v>2024</v>
      </c>
      <c r="D100" t="s">
        <v>97</v>
      </c>
      <c r="E100" t="s">
        <v>72</v>
      </c>
      <c r="F100" t="s">
        <v>38</v>
      </c>
      <c r="G100" t="b">
        <v>1</v>
      </c>
      <c r="H100" s="10">
        <v>2</v>
      </c>
      <c r="I100" s="10">
        <v>4</v>
      </c>
      <c r="J100" t="s">
        <v>54</v>
      </c>
      <c r="K100" s="9">
        <v>7644</v>
      </c>
      <c r="L100" t="s">
        <v>176</v>
      </c>
      <c r="M100" t="s">
        <v>34</v>
      </c>
      <c r="N100" s="7">
        <v>88</v>
      </c>
      <c r="O100" s="10">
        <v>2</v>
      </c>
      <c r="P100" s="7">
        <v>1</v>
      </c>
      <c r="Q100" t="s">
        <v>81</v>
      </c>
      <c r="R100" s="9">
        <v>89491</v>
      </c>
      <c r="S100" s="10">
        <v>6.56</v>
      </c>
      <c r="T100" s="9">
        <v>7689.23</v>
      </c>
      <c r="U100" s="6">
        <v>44</v>
      </c>
      <c r="V100" t="s">
        <v>29</v>
      </c>
    </row>
    <row r="101" spans="1:22" x14ac:dyDescent="0.25">
      <c r="A101" t="s">
        <v>225</v>
      </c>
      <c r="B101" s="1">
        <v>45503</v>
      </c>
      <c r="C101" s="7">
        <f>YEAR(Table2[[#This Row],[Date]])</f>
        <v>2024</v>
      </c>
      <c r="D101" t="s">
        <v>89</v>
      </c>
      <c r="E101" t="s">
        <v>72</v>
      </c>
      <c r="F101" t="s">
        <v>44</v>
      </c>
      <c r="G101" t="b">
        <v>1</v>
      </c>
      <c r="H101" s="10">
        <v>1</v>
      </c>
      <c r="I101" s="10">
        <v>2</v>
      </c>
      <c r="J101" t="s">
        <v>54</v>
      </c>
      <c r="K101" s="9">
        <v>9414</v>
      </c>
      <c r="L101" t="s">
        <v>212</v>
      </c>
      <c r="M101" t="s">
        <v>50</v>
      </c>
      <c r="N101" s="7">
        <v>13</v>
      </c>
      <c r="O101" s="10">
        <v>1</v>
      </c>
      <c r="P101" s="7">
        <v>1</v>
      </c>
      <c r="Q101" t="s">
        <v>28</v>
      </c>
      <c r="R101" s="9">
        <v>117699</v>
      </c>
      <c r="S101" s="10">
        <v>3.55</v>
      </c>
      <c r="T101" s="9">
        <v>96958.28</v>
      </c>
      <c r="U101" s="6">
        <v>33</v>
      </c>
      <c r="V101" t="s">
        <v>29</v>
      </c>
    </row>
    <row r="102" spans="1:22" x14ac:dyDescent="0.25">
      <c r="A102" t="s">
        <v>226</v>
      </c>
      <c r="B102" s="1">
        <v>45532</v>
      </c>
      <c r="C102" s="7">
        <f>YEAR(Table2[[#This Row],[Date]])</f>
        <v>2024</v>
      </c>
      <c r="D102" t="s">
        <v>69</v>
      </c>
      <c r="E102" t="s">
        <v>83</v>
      </c>
      <c r="F102" t="s">
        <v>44</v>
      </c>
      <c r="G102" t="b">
        <v>0</v>
      </c>
      <c r="H102" s="10">
        <v>3</v>
      </c>
      <c r="I102" s="10">
        <v>1</v>
      </c>
      <c r="J102" t="s">
        <v>25</v>
      </c>
      <c r="K102" s="9">
        <v>10620</v>
      </c>
      <c r="L102" t="s">
        <v>221</v>
      </c>
      <c r="M102" t="s">
        <v>61</v>
      </c>
      <c r="N102" s="7">
        <v>72</v>
      </c>
      <c r="O102" s="10">
        <v>1</v>
      </c>
      <c r="P102" s="7">
        <v>1</v>
      </c>
      <c r="Q102" t="s">
        <v>62</v>
      </c>
      <c r="R102" s="9">
        <v>91162</v>
      </c>
      <c r="S102" s="10">
        <v>6.57</v>
      </c>
      <c r="T102" s="9">
        <v>48172.47</v>
      </c>
      <c r="U102" s="6">
        <v>34</v>
      </c>
      <c r="V102" t="s">
        <v>42</v>
      </c>
    </row>
    <row r="103" spans="1:22" x14ac:dyDescent="0.25">
      <c r="A103" t="s">
        <v>227</v>
      </c>
      <c r="B103" s="1">
        <v>45619</v>
      </c>
      <c r="C103" s="7">
        <f>YEAR(Table2[[#This Row],[Date]])</f>
        <v>2024</v>
      </c>
      <c r="D103" t="s">
        <v>31</v>
      </c>
      <c r="E103" t="s">
        <v>32</v>
      </c>
      <c r="F103" t="s">
        <v>24</v>
      </c>
      <c r="G103" t="b">
        <v>0</v>
      </c>
      <c r="H103" s="10">
        <v>4</v>
      </c>
      <c r="I103" s="10">
        <v>2</v>
      </c>
      <c r="J103" t="s">
        <v>25</v>
      </c>
      <c r="K103" s="9">
        <v>10577</v>
      </c>
      <c r="L103" t="s">
        <v>206</v>
      </c>
      <c r="M103" t="s">
        <v>61</v>
      </c>
      <c r="N103" s="7">
        <v>28</v>
      </c>
      <c r="O103" s="10">
        <v>2</v>
      </c>
      <c r="P103" s="7">
        <v>2</v>
      </c>
      <c r="Q103" t="s">
        <v>51</v>
      </c>
      <c r="R103" s="9">
        <v>59933</v>
      </c>
      <c r="S103" s="10">
        <v>8.7200000000000006</v>
      </c>
      <c r="T103" s="9">
        <v>213479.99</v>
      </c>
      <c r="U103" s="6">
        <v>48</v>
      </c>
      <c r="V103" t="s">
        <v>29</v>
      </c>
    </row>
    <row r="104" spans="1:22" x14ac:dyDescent="0.25">
      <c r="A104" t="s">
        <v>228</v>
      </c>
      <c r="B104" s="1">
        <v>45487</v>
      </c>
      <c r="C104" s="7">
        <f>YEAR(Table2[[#This Row],[Date]])</f>
        <v>2024</v>
      </c>
      <c r="D104" t="s">
        <v>36</v>
      </c>
      <c r="E104" t="s">
        <v>32</v>
      </c>
      <c r="F104" t="s">
        <v>24</v>
      </c>
      <c r="G104" t="b">
        <v>0</v>
      </c>
      <c r="H104" s="10">
        <v>3</v>
      </c>
      <c r="I104" s="10">
        <v>2</v>
      </c>
      <c r="J104" t="s">
        <v>25</v>
      </c>
      <c r="K104" s="9">
        <v>53700</v>
      </c>
      <c r="L104" t="s">
        <v>229</v>
      </c>
      <c r="M104" t="s">
        <v>61</v>
      </c>
      <c r="N104" s="7">
        <v>76</v>
      </c>
      <c r="O104" s="10">
        <v>0</v>
      </c>
      <c r="P104" s="7">
        <v>2</v>
      </c>
      <c r="Q104" t="s">
        <v>41</v>
      </c>
      <c r="R104" s="9">
        <v>12177</v>
      </c>
      <c r="S104" s="10">
        <v>7.26</v>
      </c>
      <c r="T104" s="9">
        <v>170714.62</v>
      </c>
      <c r="U104" s="6">
        <v>64</v>
      </c>
      <c r="V104" t="s">
        <v>42</v>
      </c>
    </row>
    <row r="105" spans="1:22" x14ac:dyDescent="0.25">
      <c r="A105" t="s">
        <v>230</v>
      </c>
      <c r="B105" s="1">
        <v>45371</v>
      </c>
      <c r="C105" s="7">
        <f>YEAR(Table2[[#This Row],[Date]])</f>
        <v>2024</v>
      </c>
      <c r="D105" t="s">
        <v>22</v>
      </c>
      <c r="E105" t="s">
        <v>66</v>
      </c>
      <c r="F105" t="s">
        <v>24</v>
      </c>
      <c r="G105" t="b">
        <v>0</v>
      </c>
      <c r="H105" s="10">
        <v>1</v>
      </c>
      <c r="I105" s="10">
        <v>1</v>
      </c>
      <c r="J105" t="s">
        <v>39</v>
      </c>
      <c r="K105" s="9">
        <v>14191</v>
      </c>
      <c r="L105" t="s">
        <v>231</v>
      </c>
      <c r="M105" t="s">
        <v>34</v>
      </c>
      <c r="N105" s="7">
        <v>23</v>
      </c>
      <c r="O105" s="10">
        <v>0</v>
      </c>
      <c r="P105" s="7">
        <v>0</v>
      </c>
      <c r="Q105" t="s">
        <v>62</v>
      </c>
      <c r="R105" s="9">
        <v>119642</v>
      </c>
      <c r="S105" s="10">
        <v>2.78</v>
      </c>
      <c r="T105" s="9">
        <v>213384.64</v>
      </c>
      <c r="U105" s="6">
        <v>24</v>
      </c>
      <c r="V105" t="s">
        <v>29</v>
      </c>
    </row>
    <row r="106" spans="1:22" x14ac:dyDescent="0.25">
      <c r="A106" t="s">
        <v>232</v>
      </c>
      <c r="B106" s="1">
        <v>45535</v>
      </c>
      <c r="C106" s="7">
        <f>YEAR(Table2[[#This Row],[Date]])</f>
        <v>2024</v>
      </c>
      <c r="D106" t="s">
        <v>22</v>
      </c>
      <c r="E106" t="s">
        <v>98</v>
      </c>
      <c r="F106" t="s">
        <v>24</v>
      </c>
      <c r="G106" t="b">
        <v>0</v>
      </c>
      <c r="H106" s="10">
        <v>5</v>
      </c>
      <c r="I106" s="10">
        <v>1</v>
      </c>
      <c r="J106" t="s">
        <v>25</v>
      </c>
      <c r="K106" s="9">
        <v>14617</v>
      </c>
      <c r="L106" t="s">
        <v>67</v>
      </c>
      <c r="M106" t="s">
        <v>50</v>
      </c>
      <c r="N106" s="7">
        <v>49</v>
      </c>
      <c r="O106" s="10">
        <v>0</v>
      </c>
      <c r="P106" s="7">
        <v>1</v>
      </c>
      <c r="Q106" t="s">
        <v>62</v>
      </c>
      <c r="R106" s="9">
        <v>135093</v>
      </c>
      <c r="S106" s="10">
        <v>1.7</v>
      </c>
      <c r="T106" s="9">
        <v>167178.68</v>
      </c>
      <c r="U106" s="6">
        <v>33</v>
      </c>
      <c r="V106" t="s">
        <v>29</v>
      </c>
    </row>
    <row r="107" spans="1:22" x14ac:dyDescent="0.25">
      <c r="A107" t="s">
        <v>233</v>
      </c>
      <c r="B107" s="1">
        <v>45480</v>
      </c>
      <c r="C107" s="7">
        <f>YEAR(Table2[[#This Row],[Date]])</f>
        <v>2024</v>
      </c>
      <c r="D107" t="s">
        <v>97</v>
      </c>
      <c r="E107" t="s">
        <v>32</v>
      </c>
      <c r="F107" t="s">
        <v>38</v>
      </c>
      <c r="G107" t="b">
        <v>1</v>
      </c>
      <c r="H107" s="10">
        <v>0</v>
      </c>
      <c r="I107" s="10">
        <v>0</v>
      </c>
      <c r="J107" t="s">
        <v>39</v>
      </c>
      <c r="K107" s="9">
        <v>32102</v>
      </c>
      <c r="L107" t="s">
        <v>60</v>
      </c>
      <c r="M107" t="s">
        <v>27</v>
      </c>
      <c r="N107" s="7">
        <v>55</v>
      </c>
      <c r="O107" s="10">
        <v>1</v>
      </c>
      <c r="P107" s="7">
        <v>1</v>
      </c>
      <c r="Q107" t="s">
        <v>41</v>
      </c>
      <c r="R107" s="9">
        <v>119022</v>
      </c>
      <c r="S107" s="10">
        <v>6.4</v>
      </c>
      <c r="T107" s="9">
        <v>2674.26</v>
      </c>
      <c r="U107" s="6">
        <v>36</v>
      </c>
      <c r="V107" t="s">
        <v>42</v>
      </c>
    </row>
    <row r="108" spans="1:22" x14ac:dyDescent="0.25">
      <c r="A108" t="s">
        <v>234</v>
      </c>
      <c r="B108" s="1">
        <v>45912</v>
      </c>
      <c r="C108" s="7">
        <f>YEAR(Table2[[#This Row],[Date]])</f>
        <v>2025</v>
      </c>
      <c r="D108" t="s">
        <v>77</v>
      </c>
      <c r="E108" t="s">
        <v>83</v>
      </c>
      <c r="F108" t="s">
        <v>38</v>
      </c>
      <c r="G108" t="b">
        <v>0</v>
      </c>
      <c r="H108" s="10">
        <v>3</v>
      </c>
      <c r="I108" s="10">
        <v>0</v>
      </c>
      <c r="J108" t="s">
        <v>25</v>
      </c>
      <c r="K108" s="9">
        <v>20334</v>
      </c>
      <c r="L108" t="s">
        <v>78</v>
      </c>
      <c r="M108" t="s">
        <v>61</v>
      </c>
      <c r="N108" s="7">
        <v>69</v>
      </c>
      <c r="O108" s="10">
        <v>0</v>
      </c>
      <c r="P108" s="7">
        <v>0</v>
      </c>
      <c r="Q108" t="s">
        <v>28</v>
      </c>
      <c r="R108" s="9">
        <v>89226</v>
      </c>
      <c r="S108" s="10">
        <v>1.38</v>
      </c>
      <c r="T108" s="9">
        <v>128967.84</v>
      </c>
      <c r="U108" s="6">
        <v>60</v>
      </c>
      <c r="V108" t="s">
        <v>42</v>
      </c>
    </row>
    <row r="109" spans="1:22" x14ac:dyDescent="0.25">
      <c r="A109" t="s">
        <v>235</v>
      </c>
      <c r="B109" s="1">
        <v>45475</v>
      </c>
      <c r="C109" s="7">
        <f>YEAR(Table2[[#This Row],[Date]])</f>
        <v>2024</v>
      </c>
      <c r="D109" t="s">
        <v>69</v>
      </c>
      <c r="E109" t="s">
        <v>37</v>
      </c>
      <c r="F109" t="s">
        <v>38</v>
      </c>
      <c r="G109" t="b">
        <v>1</v>
      </c>
      <c r="H109" s="10">
        <v>1</v>
      </c>
      <c r="I109" s="10">
        <v>3</v>
      </c>
      <c r="J109" t="s">
        <v>54</v>
      </c>
      <c r="K109" s="9">
        <v>14409</v>
      </c>
      <c r="L109" t="s">
        <v>178</v>
      </c>
      <c r="M109" t="s">
        <v>27</v>
      </c>
      <c r="N109" s="7">
        <v>41</v>
      </c>
      <c r="O109" s="10">
        <v>0</v>
      </c>
      <c r="P109" s="7">
        <v>0</v>
      </c>
      <c r="Q109" t="s">
        <v>62</v>
      </c>
      <c r="R109" s="9">
        <v>82490</v>
      </c>
      <c r="S109" s="10">
        <v>5.19</v>
      </c>
      <c r="T109" s="9">
        <v>14878.63</v>
      </c>
      <c r="U109" s="6">
        <v>20</v>
      </c>
      <c r="V109" t="s">
        <v>42</v>
      </c>
    </row>
    <row r="110" spans="1:22" x14ac:dyDescent="0.25">
      <c r="A110" t="s">
        <v>236</v>
      </c>
      <c r="B110" s="1">
        <v>45408</v>
      </c>
      <c r="C110" s="7">
        <f>YEAR(Table2[[#This Row],[Date]])</f>
        <v>2024</v>
      </c>
      <c r="D110" t="s">
        <v>31</v>
      </c>
      <c r="E110" t="s">
        <v>23</v>
      </c>
      <c r="F110" t="s">
        <v>38</v>
      </c>
      <c r="G110" t="b">
        <v>1</v>
      </c>
      <c r="H110" s="10">
        <v>0</v>
      </c>
      <c r="I110" s="10">
        <v>0</v>
      </c>
      <c r="J110" t="s">
        <v>39</v>
      </c>
      <c r="K110" s="9">
        <v>43164</v>
      </c>
      <c r="L110" t="s">
        <v>67</v>
      </c>
      <c r="M110" t="s">
        <v>61</v>
      </c>
      <c r="N110" s="7">
        <v>28</v>
      </c>
      <c r="O110" s="10">
        <v>0</v>
      </c>
      <c r="P110" s="7">
        <v>1</v>
      </c>
      <c r="Q110" t="s">
        <v>46</v>
      </c>
      <c r="R110" s="9">
        <v>125342</v>
      </c>
      <c r="S110" s="10">
        <v>2.5499999999999998</v>
      </c>
      <c r="T110" s="9">
        <v>80830.8</v>
      </c>
      <c r="U110" s="6">
        <v>18</v>
      </c>
      <c r="V110" t="s">
        <v>42</v>
      </c>
    </row>
    <row r="111" spans="1:22" x14ac:dyDescent="0.25">
      <c r="A111" t="s">
        <v>237</v>
      </c>
      <c r="B111" s="1">
        <v>45306</v>
      </c>
      <c r="C111" s="7">
        <f>YEAR(Table2[[#This Row],[Date]])</f>
        <v>2024</v>
      </c>
      <c r="D111" t="s">
        <v>97</v>
      </c>
      <c r="E111" t="s">
        <v>23</v>
      </c>
      <c r="F111" t="s">
        <v>24</v>
      </c>
      <c r="G111" t="b">
        <v>0</v>
      </c>
      <c r="H111" s="10">
        <v>4</v>
      </c>
      <c r="I111" s="10">
        <v>3</v>
      </c>
      <c r="J111" t="s">
        <v>25</v>
      </c>
      <c r="K111" s="9">
        <v>53282</v>
      </c>
      <c r="L111" t="s">
        <v>238</v>
      </c>
      <c r="M111" t="s">
        <v>50</v>
      </c>
      <c r="N111" s="7">
        <v>15</v>
      </c>
      <c r="O111" s="10">
        <v>1</v>
      </c>
      <c r="P111" s="7">
        <v>0</v>
      </c>
      <c r="Q111" t="s">
        <v>41</v>
      </c>
      <c r="R111" s="9">
        <v>79198</v>
      </c>
      <c r="S111" s="10">
        <v>6.79</v>
      </c>
      <c r="T111" s="9">
        <v>19518.810000000001</v>
      </c>
      <c r="U111" s="6">
        <v>39</v>
      </c>
      <c r="V111" t="s">
        <v>42</v>
      </c>
    </row>
    <row r="112" spans="1:22" x14ac:dyDescent="0.25">
      <c r="A112" t="s">
        <v>239</v>
      </c>
      <c r="B112" s="1">
        <v>45684</v>
      </c>
      <c r="C112" s="7">
        <f>YEAR(Table2[[#This Row],[Date]])</f>
        <v>2025</v>
      </c>
      <c r="D112" t="s">
        <v>22</v>
      </c>
      <c r="E112" t="s">
        <v>48</v>
      </c>
      <c r="F112" t="s">
        <v>44</v>
      </c>
      <c r="G112" t="b">
        <v>1</v>
      </c>
      <c r="H112" s="10">
        <v>3</v>
      </c>
      <c r="I112" s="10">
        <v>1</v>
      </c>
      <c r="J112" t="s">
        <v>25</v>
      </c>
      <c r="K112" s="9">
        <v>40477</v>
      </c>
      <c r="L112" t="s">
        <v>101</v>
      </c>
      <c r="M112" t="s">
        <v>50</v>
      </c>
      <c r="N112" s="7">
        <v>51</v>
      </c>
      <c r="O112" s="10">
        <v>0</v>
      </c>
      <c r="P112" s="7">
        <v>0</v>
      </c>
      <c r="Q112" t="s">
        <v>51</v>
      </c>
      <c r="R112" s="9">
        <v>125459</v>
      </c>
      <c r="S112" s="10">
        <v>3.24</v>
      </c>
      <c r="T112" s="9">
        <v>105714.53</v>
      </c>
      <c r="U112" s="6">
        <v>19</v>
      </c>
      <c r="V112" t="s">
        <v>42</v>
      </c>
    </row>
    <row r="113" spans="1:22" x14ac:dyDescent="0.25">
      <c r="A113" t="s">
        <v>240</v>
      </c>
      <c r="B113" s="1">
        <v>45764</v>
      </c>
      <c r="C113" s="7">
        <f>YEAR(Table2[[#This Row],[Date]])</f>
        <v>2025</v>
      </c>
      <c r="D113" t="s">
        <v>53</v>
      </c>
      <c r="E113" t="s">
        <v>37</v>
      </c>
      <c r="F113" t="s">
        <v>38</v>
      </c>
      <c r="G113" t="b">
        <v>0</v>
      </c>
      <c r="H113" s="10">
        <v>1</v>
      </c>
      <c r="I113" s="10">
        <v>2</v>
      </c>
      <c r="J113" t="s">
        <v>54</v>
      </c>
      <c r="K113" s="9">
        <v>43934</v>
      </c>
      <c r="L113" t="s">
        <v>149</v>
      </c>
      <c r="M113" t="s">
        <v>34</v>
      </c>
      <c r="N113" s="7">
        <v>12</v>
      </c>
      <c r="O113" s="10">
        <v>0</v>
      </c>
      <c r="P113" s="7">
        <v>1</v>
      </c>
      <c r="Q113" t="s">
        <v>62</v>
      </c>
      <c r="R113" s="9">
        <v>34953</v>
      </c>
      <c r="S113" s="10">
        <v>5.87</v>
      </c>
      <c r="T113" s="9">
        <v>145104.75</v>
      </c>
      <c r="U113" s="6">
        <v>54</v>
      </c>
      <c r="V113" t="s">
        <v>29</v>
      </c>
    </row>
    <row r="114" spans="1:22" x14ac:dyDescent="0.25">
      <c r="A114" t="s">
        <v>241</v>
      </c>
      <c r="B114" s="1">
        <v>45461</v>
      </c>
      <c r="C114" s="7">
        <f>YEAR(Table2[[#This Row],[Date]])</f>
        <v>2024</v>
      </c>
      <c r="D114" t="s">
        <v>89</v>
      </c>
      <c r="E114" t="s">
        <v>72</v>
      </c>
      <c r="F114" t="s">
        <v>24</v>
      </c>
      <c r="G114" t="b">
        <v>0</v>
      </c>
      <c r="H114" s="10">
        <v>2</v>
      </c>
      <c r="I114" s="10">
        <v>4</v>
      </c>
      <c r="J114" t="s">
        <v>54</v>
      </c>
      <c r="K114" s="9">
        <v>14720</v>
      </c>
      <c r="L114" t="s">
        <v>107</v>
      </c>
      <c r="M114" t="s">
        <v>34</v>
      </c>
      <c r="N114" s="7">
        <v>77</v>
      </c>
      <c r="O114" s="10">
        <v>0</v>
      </c>
      <c r="P114" s="7">
        <v>2</v>
      </c>
      <c r="Q114" t="s">
        <v>51</v>
      </c>
      <c r="R114" s="9">
        <v>36610</v>
      </c>
      <c r="S114" s="10">
        <v>3.82</v>
      </c>
      <c r="T114" s="9">
        <v>238778.34</v>
      </c>
      <c r="U114" s="6">
        <v>54</v>
      </c>
      <c r="V114" t="s">
        <v>29</v>
      </c>
    </row>
    <row r="115" spans="1:22" x14ac:dyDescent="0.25">
      <c r="A115" t="s">
        <v>242</v>
      </c>
      <c r="B115" s="1">
        <v>45303</v>
      </c>
      <c r="C115" s="7">
        <f>YEAR(Table2[[#This Row],[Date]])</f>
        <v>2024</v>
      </c>
      <c r="D115" t="s">
        <v>31</v>
      </c>
      <c r="E115" t="s">
        <v>37</v>
      </c>
      <c r="F115" t="s">
        <v>44</v>
      </c>
      <c r="G115" t="b">
        <v>0</v>
      </c>
      <c r="H115" s="10">
        <v>5</v>
      </c>
      <c r="I115" s="10">
        <v>2</v>
      </c>
      <c r="J115" t="s">
        <v>25</v>
      </c>
      <c r="K115" s="9">
        <v>16441</v>
      </c>
      <c r="L115" t="s">
        <v>64</v>
      </c>
      <c r="M115" t="s">
        <v>61</v>
      </c>
      <c r="N115" s="7">
        <v>36</v>
      </c>
      <c r="O115" s="10">
        <v>1</v>
      </c>
      <c r="P115" s="7">
        <v>0</v>
      </c>
      <c r="Q115" t="s">
        <v>62</v>
      </c>
      <c r="R115" s="9">
        <v>142870</v>
      </c>
      <c r="S115" s="10">
        <v>1.49</v>
      </c>
      <c r="T115" s="9">
        <v>228015.15</v>
      </c>
      <c r="U115" s="6">
        <v>25</v>
      </c>
      <c r="V115" t="s">
        <v>29</v>
      </c>
    </row>
    <row r="116" spans="1:22" x14ac:dyDescent="0.25">
      <c r="A116" t="s">
        <v>243</v>
      </c>
      <c r="B116" s="1">
        <v>45332</v>
      </c>
      <c r="C116" s="7">
        <f>YEAR(Table2[[#This Row],[Date]])</f>
        <v>2024</v>
      </c>
      <c r="D116" t="s">
        <v>69</v>
      </c>
      <c r="E116" t="s">
        <v>72</v>
      </c>
      <c r="F116" t="s">
        <v>44</v>
      </c>
      <c r="G116" t="b">
        <v>0</v>
      </c>
      <c r="H116" s="10">
        <v>2</v>
      </c>
      <c r="I116" s="10">
        <v>3</v>
      </c>
      <c r="J116" t="s">
        <v>54</v>
      </c>
      <c r="K116" s="9">
        <v>26657</v>
      </c>
      <c r="L116" t="s">
        <v>33</v>
      </c>
      <c r="M116" t="s">
        <v>34</v>
      </c>
      <c r="N116" s="7">
        <v>33</v>
      </c>
      <c r="O116" s="10">
        <v>2</v>
      </c>
      <c r="P116" s="7">
        <v>1</v>
      </c>
      <c r="Q116" t="s">
        <v>46</v>
      </c>
      <c r="R116" s="9">
        <v>21851</v>
      </c>
      <c r="S116" s="10">
        <v>6.42</v>
      </c>
      <c r="T116" s="9">
        <v>222757.55</v>
      </c>
      <c r="U116" s="6">
        <v>32</v>
      </c>
      <c r="V116" t="s">
        <v>29</v>
      </c>
    </row>
    <row r="117" spans="1:22" x14ac:dyDescent="0.25">
      <c r="A117" t="s">
        <v>245</v>
      </c>
      <c r="B117" s="1">
        <v>45783</v>
      </c>
      <c r="C117" s="7">
        <f>YEAR(Table2[[#This Row],[Date]])</f>
        <v>2025</v>
      </c>
      <c r="D117" t="s">
        <v>69</v>
      </c>
      <c r="E117" t="s">
        <v>32</v>
      </c>
      <c r="F117" t="s">
        <v>38</v>
      </c>
      <c r="G117" t="b">
        <v>1</v>
      </c>
      <c r="H117" s="10">
        <v>1</v>
      </c>
      <c r="I117" s="10">
        <v>0</v>
      </c>
      <c r="J117" t="s">
        <v>25</v>
      </c>
      <c r="K117" s="9">
        <v>9157</v>
      </c>
      <c r="L117" t="s">
        <v>149</v>
      </c>
      <c r="M117" t="s">
        <v>27</v>
      </c>
      <c r="N117" s="7">
        <v>64</v>
      </c>
      <c r="O117" s="10">
        <v>2</v>
      </c>
      <c r="P117" s="7">
        <v>1</v>
      </c>
      <c r="Q117" t="s">
        <v>62</v>
      </c>
      <c r="R117" s="9">
        <v>38943</v>
      </c>
      <c r="S117" s="10">
        <v>3.51</v>
      </c>
      <c r="T117" s="9">
        <v>38703.22</v>
      </c>
      <c r="U117" s="6">
        <v>29</v>
      </c>
      <c r="V117" t="s">
        <v>42</v>
      </c>
    </row>
    <row r="118" spans="1:22" x14ac:dyDescent="0.25">
      <c r="A118" t="s">
        <v>246</v>
      </c>
      <c r="B118" s="1">
        <v>45600</v>
      </c>
      <c r="C118" s="7">
        <f>YEAR(Table2[[#This Row],[Date]])</f>
        <v>2024</v>
      </c>
      <c r="D118" t="s">
        <v>77</v>
      </c>
      <c r="E118" t="s">
        <v>66</v>
      </c>
      <c r="F118" t="s">
        <v>24</v>
      </c>
      <c r="G118" t="b">
        <v>1</v>
      </c>
      <c r="H118" s="10">
        <v>0</v>
      </c>
      <c r="I118" s="10">
        <v>2</v>
      </c>
      <c r="J118" t="s">
        <v>54</v>
      </c>
      <c r="K118" s="9">
        <v>42300</v>
      </c>
      <c r="L118" t="s">
        <v>167</v>
      </c>
      <c r="M118" t="s">
        <v>27</v>
      </c>
      <c r="N118" s="7">
        <v>79</v>
      </c>
      <c r="O118" s="10">
        <v>1</v>
      </c>
      <c r="P118" s="7">
        <v>2</v>
      </c>
      <c r="Q118" t="s">
        <v>81</v>
      </c>
      <c r="R118" s="9">
        <v>8063</v>
      </c>
      <c r="S118" s="10">
        <v>8.06</v>
      </c>
      <c r="T118" s="9">
        <v>69273.399999999994</v>
      </c>
      <c r="U118" s="6">
        <v>28</v>
      </c>
      <c r="V118" t="s">
        <v>152</v>
      </c>
    </row>
    <row r="119" spans="1:22" x14ac:dyDescent="0.25">
      <c r="A119" t="s">
        <v>247</v>
      </c>
      <c r="B119" s="1">
        <v>45584</v>
      </c>
      <c r="C119" s="7">
        <f>YEAR(Table2[[#This Row],[Date]])</f>
        <v>2024</v>
      </c>
      <c r="D119" t="s">
        <v>36</v>
      </c>
      <c r="E119" t="s">
        <v>32</v>
      </c>
      <c r="F119" t="s">
        <v>24</v>
      </c>
      <c r="G119" t="b">
        <v>0</v>
      </c>
      <c r="H119" s="10">
        <v>1</v>
      </c>
      <c r="I119" s="10">
        <v>3</v>
      </c>
      <c r="J119" t="s">
        <v>54</v>
      </c>
      <c r="K119" s="9">
        <v>23697</v>
      </c>
      <c r="L119" t="s">
        <v>205</v>
      </c>
      <c r="M119" t="s">
        <v>61</v>
      </c>
      <c r="N119" s="7">
        <v>10</v>
      </c>
      <c r="O119" s="10">
        <v>1</v>
      </c>
      <c r="P119" s="7">
        <v>1</v>
      </c>
      <c r="Q119" t="s">
        <v>62</v>
      </c>
      <c r="R119" s="9">
        <v>95884</v>
      </c>
      <c r="S119" s="10">
        <v>7.41</v>
      </c>
      <c r="T119" s="9">
        <v>226678.81</v>
      </c>
      <c r="U119" s="6">
        <v>28</v>
      </c>
      <c r="V119" t="s">
        <v>29</v>
      </c>
    </row>
    <row r="120" spans="1:22" x14ac:dyDescent="0.25">
      <c r="A120" t="s">
        <v>248</v>
      </c>
      <c r="B120" s="1">
        <v>46008</v>
      </c>
      <c r="C120" s="7">
        <f>YEAR(Table2[[#This Row],[Date]])</f>
        <v>2025</v>
      </c>
      <c r="D120" t="s">
        <v>31</v>
      </c>
      <c r="E120" t="s">
        <v>66</v>
      </c>
      <c r="F120" t="s">
        <v>24</v>
      </c>
      <c r="G120" t="b">
        <v>0</v>
      </c>
      <c r="H120" s="10">
        <v>5</v>
      </c>
      <c r="I120" s="10">
        <v>0</v>
      </c>
      <c r="J120" t="s">
        <v>25</v>
      </c>
      <c r="K120" s="9">
        <v>41541</v>
      </c>
      <c r="L120" t="s">
        <v>195</v>
      </c>
      <c r="M120" t="s">
        <v>34</v>
      </c>
      <c r="N120" s="7">
        <v>77</v>
      </c>
      <c r="O120" s="10">
        <v>0</v>
      </c>
      <c r="P120" s="7">
        <v>1</v>
      </c>
      <c r="Q120" t="s">
        <v>28</v>
      </c>
      <c r="R120" s="9">
        <v>18709</v>
      </c>
      <c r="S120" s="10">
        <v>2.65</v>
      </c>
      <c r="T120" s="9">
        <v>200390.92</v>
      </c>
      <c r="U120" s="6">
        <v>54</v>
      </c>
      <c r="V120" t="s">
        <v>42</v>
      </c>
    </row>
    <row r="121" spans="1:22" x14ac:dyDescent="0.25">
      <c r="A121" t="s">
        <v>249</v>
      </c>
      <c r="B121" s="1">
        <v>45323</v>
      </c>
      <c r="C121" s="7">
        <f>YEAR(Table2[[#This Row],[Date]])</f>
        <v>2024</v>
      </c>
      <c r="D121" t="s">
        <v>69</v>
      </c>
      <c r="E121" t="s">
        <v>98</v>
      </c>
      <c r="F121" t="s">
        <v>44</v>
      </c>
      <c r="G121" t="b">
        <v>0</v>
      </c>
      <c r="H121" s="10">
        <v>2</v>
      </c>
      <c r="I121" s="10">
        <v>0</v>
      </c>
      <c r="J121" t="s">
        <v>25</v>
      </c>
      <c r="K121" s="9">
        <v>44940</v>
      </c>
      <c r="L121" t="s">
        <v>169</v>
      </c>
      <c r="M121" t="s">
        <v>27</v>
      </c>
      <c r="N121" s="7">
        <v>54</v>
      </c>
      <c r="O121" s="10">
        <v>0</v>
      </c>
      <c r="P121" s="7">
        <v>1</v>
      </c>
      <c r="Q121" t="s">
        <v>81</v>
      </c>
      <c r="R121" s="9">
        <v>56091</v>
      </c>
      <c r="S121" s="10">
        <v>3.14</v>
      </c>
      <c r="T121" s="9">
        <v>172706.56</v>
      </c>
      <c r="U121" s="6">
        <v>44</v>
      </c>
      <c r="V121" t="s">
        <v>42</v>
      </c>
    </row>
    <row r="122" spans="1:22" x14ac:dyDescent="0.25">
      <c r="A122" t="s">
        <v>250</v>
      </c>
      <c r="B122" s="1">
        <v>45938</v>
      </c>
      <c r="C122" s="7">
        <f>YEAR(Table2[[#This Row],[Date]])</f>
        <v>2025</v>
      </c>
      <c r="D122" t="s">
        <v>22</v>
      </c>
      <c r="E122" t="s">
        <v>23</v>
      </c>
      <c r="F122" t="s">
        <v>38</v>
      </c>
      <c r="G122" t="b">
        <v>1</v>
      </c>
      <c r="H122" s="10">
        <v>5</v>
      </c>
      <c r="I122" s="10">
        <v>1</v>
      </c>
      <c r="J122" t="s">
        <v>25</v>
      </c>
      <c r="K122" s="9">
        <v>46141</v>
      </c>
      <c r="L122" t="s">
        <v>251</v>
      </c>
      <c r="M122" t="s">
        <v>61</v>
      </c>
      <c r="N122" s="7">
        <v>79</v>
      </c>
      <c r="O122" s="10">
        <v>0</v>
      </c>
      <c r="P122" s="7">
        <v>0</v>
      </c>
      <c r="Q122" t="s">
        <v>41</v>
      </c>
      <c r="R122" s="9">
        <v>113156</v>
      </c>
      <c r="S122" s="10">
        <v>5.29</v>
      </c>
      <c r="T122" s="9">
        <v>38088.019999999997</v>
      </c>
      <c r="U122" s="6">
        <v>51</v>
      </c>
      <c r="V122" t="s">
        <v>42</v>
      </c>
    </row>
    <row r="123" spans="1:22" x14ac:dyDescent="0.25">
      <c r="A123" t="s">
        <v>252</v>
      </c>
      <c r="B123" s="1">
        <v>45557</v>
      </c>
      <c r="C123" s="7">
        <f>YEAR(Table2[[#This Row],[Date]])</f>
        <v>2024</v>
      </c>
      <c r="D123" t="s">
        <v>53</v>
      </c>
      <c r="E123" t="s">
        <v>83</v>
      </c>
      <c r="F123" t="s">
        <v>38</v>
      </c>
      <c r="G123" t="b">
        <v>0</v>
      </c>
      <c r="H123" s="10">
        <v>4</v>
      </c>
      <c r="I123" s="10">
        <v>0</v>
      </c>
      <c r="J123" t="s">
        <v>25</v>
      </c>
      <c r="K123" s="9">
        <v>20628</v>
      </c>
      <c r="L123" t="s">
        <v>107</v>
      </c>
      <c r="M123" t="s">
        <v>34</v>
      </c>
      <c r="N123" s="7">
        <v>92</v>
      </c>
      <c r="O123" s="10">
        <v>0</v>
      </c>
      <c r="P123" s="7">
        <v>1</v>
      </c>
      <c r="Q123" t="s">
        <v>28</v>
      </c>
      <c r="R123" s="9">
        <v>149653</v>
      </c>
      <c r="S123" s="10">
        <v>3.64</v>
      </c>
      <c r="T123" s="9">
        <v>109840.69</v>
      </c>
      <c r="U123" s="6">
        <v>56</v>
      </c>
      <c r="V123" t="s">
        <v>42</v>
      </c>
    </row>
    <row r="124" spans="1:22" x14ac:dyDescent="0.25">
      <c r="A124" t="s">
        <v>254</v>
      </c>
      <c r="B124" s="1">
        <v>45877</v>
      </c>
      <c r="C124" s="7">
        <f>YEAR(Table2[[#This Row],[Date]])</f>
        <v>2025</v>
      </c>
      <c r="D124" t="s">
        <v>77</v>
      </c>
      <c r="E124" t="s">
        <v>48</v>
      </c>
      <c r="F124" t="s">
        <v>44</v>
      </c>
      <c r="G124" t="b">
        <v>1</v>
      </c>
      <c r="H124" s="10">
        <v>4</v>
      </c>
      <c r="I124" s="10">
        <v>0</v>
      </c>
      <c r="J124" t="s">
        <v>25</v>
      </c>
      <c r="K124" s="9">
        <v>27355</v>
      </c>
      <c r="L124" t="s">
        <v>238</v>
      </c>
      <c r="M124" t="s">
        <v>50</v>
      </c>
      <c r="N124" s="7">
        <v>19</v>
      </c>
      <c r="O124" s="10">
        <v>0</v>
      </c>
      <c r="P124" s="7">
        <v>1</v>
      </c>
      <c r="Q124" t="s">
        <v>62</v>
      </c>
      <c r="R124" s="9">
        <v>21473</v>
      </c>
      <c r="S124" s="10">
        <v>2.98</v>
      </c>
      <c r="T124" s="9">
        <v>129833.17</v>
      </c>
      <c r="U124" s="6">
        <v>57</v>
      </c>
      <c r="V124" t="s">
        <v>29</v>
      </c>
    </row>
    <row r="125" spans="1:22" x14ac:dyDescent="0.25">
      <c r="A125" t="s">
        <v>255</v>
      </c>
      <c r="B125" s="1">
        <v>45829</v>
      </c>
      <c r="C125" s="7">
        <f>YEAR(Table2[[#This Row],[Date]])</f>
        <v>2025</v>
      </c>
      <c r="D125" t="s">
        <v>31</v>
      </c>
      <c r="E125" t="s">
        <v>72</v>
      </c>
      <c r="F125" t="s">
        <v>38</v>
      </c>
      <c r="G125" t="b">
        <v>1</v>
      </c>
      <c r="H125" s="10">
        <v>0</v>
      </c>
      <c r="I125" s="10">
        <v>3</v>
      </c>
      <c r="J125" t="s">
        <v>54</v>
      </c>
      <c r="K125" s="9">
        <v>13187</v>
      </c>
      <c r="L125" t="s">
        <v>208</v>
      </c>
      <c r="M125" t="s">
        <v>61</v>
      </c>
      <c r="N125" s="7">
        <v>40</v>
      </c>
      <c r="O125" s="10">
        <v>0</v>
      </c>
      <c r="P125" s="7">
        <v>2</v>
      </c>
      <c r="Q125" t="s">
        <v>81</v>
      </c>
      <c r="R125" s="9">
        <v>19398</v>
      </c>
      <c r="S125" s="10">
        <v>1.32</v>
      </c>
      <c r="T125" s="9">
        <v>75644.850000000006</v>
      </c>
      <c r="U125" s="6">
        <v>43</v>
      </c>
      <c r="V125" t="s">
        <v>29</v>
      </c>
    </row>
    <row r="126" spans="1:22" x14ac:dyDescent="0.25">
      <c r="A126" t="s">
        <v>256</v>
      </c>
      <c r="B126" s="1">
        <v>45811</v>
      </c>
      <c r="C126" s="7">
        <f>YEAR(Table2[[#This Row],[Date]])</f>
        <v>2025</v>
      </c>
      <c r="D126" t="s">
        <v>89</v>
      </c>
      <c r="E126" t="s">
        <v>98</v>
      </c>
      <c r="F126" t="s">
        <v>44</v>
      </c>
      <c r="G126" t="b">
        <v>1</v>
      </c>
      <c r="H126" s="10">
        <v>1</v>
      </c>
      <c r="I126" s="10">
        <v>4</v>
      </c>
      <c r="J126" t="s">
        <v>54</v>
      </c>
      <c r="K126" s="9">
        <v>22396</v>
      </c>
      <c r="L126" t="s">
        <v>157</v>
      </c>
      <c r="M126" t="s">
        <v>27</v>
      </c>
      <c r="N126" s="7">
        <v>40</v>
      </c>
      <c r="O126" s="10">
        <v>0</v>
      </c>
      <c r="P126" s="7">
        <v>0</v>
      </c>
      <c r="Q126" t="s">
        <v>81</v>
      </c>
      <c r="R126" s="9">
        <v>66216</v>
      </c>
      <c r="S126" s="10">
        <v>3.21</v>
      </c>
      <c r="T126" s="9">
        <v>111420</v>
      </c>
      <c r="U126" s="6">
        <v>34</v>
      </c>
      <c r="V126" t="s">
        <v>29</v>
      </c>
    </row>
    <row r="127" spans="1:22" x14ac:dyDescent="0.25">
      <c r="A127" t="s">
        <v>258</v>
      </c>
      <c r="B127" s="1">
        <v>45328</v>
      </c>
      <c r="C127" s="7">
        <f>YEAR(Table2[[#This Row],[Date]])</f>
        <v>2024</v>
      </c>
      <c r="D127" t="s">
        <v>97</v>
      </c>
      <c r="E127" t="s">
        <v>23</v>
      </c>
      <c r="F127" t="s">
        <v>24</v>
      </c>
      <c r="G127" t="b">
        <v>0</v>
      </c>
      <c r="H127" s="10">
        <v>4</v>
      </c>
      <c r="I127" s="10">
        <v>0</v>
      </c>
      <c r="J127" t="s">
        <v>25</v>
      </c>
      <c r="K127" s="9">
        <v>19527</v>
      </c>
      <c r="L127" t="s">
        <v>176</v>
      </c>
      <c r="M127" t="s">
        <v>61</v>
      </c>
      <c r="N127" s="7">
        <v>27</v>
      </c>
      <c r="O127" s="10">
        <v>0</v>
      </c>
      <c r="P127" s="7">
        <v>0</v>
      </c>
      <c r="Q127" t="s">
        <v>51</v>
      </c>
      <c r="R127" s="9">
        <v>48645</v>
      </c>
      <c r="S127" s="10">
        <v>7.2</v>
      </c>
      <c r="T127" s="9">
        <v>184647.6</v>
      </c>
      <c r="U127" s="6">
        <v>51</v>
      </c>
      <c r="V127" t="s">
        <v>42</v>
      </c>
    </row>
    <row r="128" spans="1:22" x14ac:dyDescent="0.25">
      <c r="A128" t="s">
        <v>259</v>
      </c>
      <c r="B128" s="1">
        <v>45325</v>
      </c>
      <c r="C128" s="7">
        <f>YEAR(Table2[[#This Row],[Date]])</f>
        <v>2024</v>
      </c>
      <c r="D128" t="s">
        <v>31</v>
      </c>
      <c r="E128" t="s">
        <v>23</v>
      </c>
      <c r="F128" t="s">
        <v>38</v>
      </c>
      <c r="G128" t="b">
        <v>0</v>
      </c>
      <c r="H128" s="10">
        <v>1</v>
      </c>
      <c r="I128" s="10">
        <v>1</v>
      </c>
      <c r="J128" t="s">
        <v>39</v>
      </c>
      <c r="K128" s="9">
        <v>45729</v>
      </c>
      <c r="L128" t="s">
        <v>84</v>
      </c>
      <c r="M128" t="s">
        <v>34</v>
      </c>
      <c r="N128" s="7">
        <v>89</v>
      </c>
      <c r="O128" s="10">
        <v>0</v>
      </c>
      <c r="P128" s="7">
        <v>2</v>
      </c>
      <c r="Q128" t="s">
        <v>46</v>
      </c>
      <c r="R128" s="9">
        <v>79960</v>
      </c>
      <c r="S128" s="10">
        <v>8.4499999999999993</v>
      </c>
      <c r="T128" s="9">
        <v>208591.79</v>
      </c>
      <c r="U128" s="6">
        <v>60</v>
      </c>
      <c r="V128" t="s">
        <v>42</v>
      </c>
    </row>
    <row r="129" spans="1:22" x14ac:dyDescent="0.25">
      <c r="A129" t="s">
        <v>260</v>
      </c>
      <c r="B129" s="1">
        <v>45560</v>
      </c>
      <c r="C129" s="7">
        <f>YEAR(Table2[[#This Row],[Date]])</f>
        <v>2024</v>
      </c>
      <c r="D129" t="s">
        <v>31</v>
      </c>
      <c r="E129" t="s">
        <v>66</v>
      </c>
      <c r="F129" t="s">
        <v>44</v>
      </c>
      <c r="G129" t="b">
        <v>0</v>
      </c>
      <c r="H129" s="10">
        <v>1</v>
      </c>
      <c r="I129" s="10">
        <v>4</v>
      </c>
      <c r="J129" t="s">
        <v>54</v>
      </c>
      <c r="K129" s="9">
        <v>7383</v>
      </c>
      <c r="L129" t="s">
        <v>261</v>
      </c>
      <c r="M129" t="s">
        <v>61</v>
      </c>
      <c r="N129" s="7">
        <v>20</v>
      </c>
      <c r="O129" s="10">
        <v>1</v>
      </c>
      <c r="P129" s="7">
        <v>0</v>
      </c>
      <c r="Q129" t="s">
        <v>62</v>
      </c>
      <c r="R129" s="9">
        <v>88474</v>
      </c>
      <c r="S129" s="10">
        <v>4.3899999999999997</v>
      </c>
      <c r="T129" s="9">
        <v>139324.35999999999</v>
      </c>
      <c r="U129" s="6">
        <v>51</v>
      </c>
      <c r="V129" t="s">
        <v>42</v>
      </c>
    </row>
    <row r="130" spans="1:22" x14ac:dyDescent="0.25">
      <c r="A130" t="s">
        <v>262</v>
      </c>
      <c r="B130" s="1">
        <v>45566</v>
      </c>
      <c r="C130" s="7">
        <f>YEAR(Table2[[#This Row],[Date]])</f>
        <v>2024</v>
      </c>
      <c r="D130" t="s">
        <v>22</v>
      </c>
      <c r="E130" t="s">
        <v>83</v>
      </c>
      <c r="F130" t="s">
        <v>44</v>
      </c>
      <c r="G130" t="b">
        <v>1</v>
      </c>
      <c r="H130" s="10">
        <v>2</v>
      </c>
      <c r="I130" s="10">
        <v>2</v>
      </c>
      <c r="J130" t="s">
        <v>39</v>
      </c>
      <c r="K130" s="9">
        <v>6502</v>
      </c>
      <c r="L130" t="s">
        <v>141</v>
      </c>
      <c r="M130" t="s">
        <v>61</v>
      </c>
      <c r="N130" s="7">
        <v>27</v>
      </c>
      <c r="O130" s="10">
        <v>1</v>
      </c>
      <c r="P130" s="7">
        <v>0</v>
      </c>
      <c r="Q130" t="s">
        <v>51</v>
      </c>
      <c r="R130" s="9">
        <v>16857</v>
      </c>
      <c r="S130" s="10">
        <v>8.3699999999999992</v>
      </c>
      <c r="T130" s="9">
        <v>245794.68</v>
      </c>
      <c r="U130" s="6">
        <v>40</v>
      </c>
      <c r="V130" t="s">
        <v>29</v>
      </c>
    </row>
    <row r="131" spans="1:22" x14ac:dyDescent="0.25">
      <c r="A131" t="s">
        <v>263</v>
      </c>
      <c r="B131" s="1">
        <v>45371</v>
      </c>
      <c r="C131" s="7">
        <f>YEAR(Table2[[#This Row],[Date]])</f>
        <v>2024</v>
      </c>
      <c r="D131" t="s">
        <v>77</v>
      </c>
      <c r="E131" t="s">
        <v>72</v>
      </c>
      <c r="F131" t="s">
        <v>38</v>
      </c>
      <c r="G131" t="b">
        <v>1</v>
      </c>
      <c r="H131" s="10">
        <v>3</v>
      </c>
      <c r="I131" s="10">
        <v>3</v>
      </c>
      <c r="J131" t="s">
        <v>39</v>
      </c>
      <c r="K131" s="9">
        <v>37572</v>
      </c>
      <c r="L131" t="s">
        <v>80</v>
      </c>
      <c r="M131" t="s">
        <v>34</v>
      </c>
      <c r="N131" s="7">
        <v>55</v>
      </c>
      <c r="O131" s="10">
        <v>2</v>
      </c>
      <c r="P131" s="7">
        <v>1</v>
      </c>
      <c r="Q131" t="s">
        <v>87</v>
      </c>
      <c r="R131" s="9">
        <v>66921</v>
      </c>
      <c r="S131" s="10">
        <v>1.86</v>
      </c>
      <c r="T131" s="9">
        <v>60342.14</v>
      </c>
      <c r="U131" s="6">
        <v>22</v>
      </c>
      <c r="V131" t="s">
        <v>42</v>
      </c>
    </row>
    <row r="132" spans="1:22" x14ac:dyDescent="0.25">
      <c r="A132" t="s">
        <v>264</v>
      </c>
      <c r="B132" s="1">
        <v>45453</v>
      </c>
      <c r="C132" s="7">
        <f>YEAR(Table2[[#This Row],[Date]])</f>
        <v>2024</v>
      </c>
      <c r="D132" t="s">
        <v>69</v>
      </c>
      <c r="E132" t="s">
        <v>98</v>
      </c>
      <c r="F132" t="s">
        <v>38</v>
      </c>
      <c r="G132" t="b">
        <v>1</v>
      </c>
      <c r="H132" s="10">
        <v>0</v>
      </c>
      <c r="I132" s="10">
        <v>4</v>
      </c>
      <c r="J132" t="s">
        <v>54</v>
      </c>
      <c r="K132" s="9">
        <v>29863</v>
      </c>
      <c r="L132" t="s">
        <v>112</v>
      </c>
      <c r="M132" t="s">
        <v>50</v>
      </c>
      <c r="N132" s="7">
        <v>49</v>
      </c>
      <c r="O132" s="10">
        <v>0</v>
      </c>
      <c r="P132" s="7">
        <v>2</v>
      </c>
      <c r="Q132" t="s">
        <v>46</v>
      </c>
      <c r="R132" s="9">
        <v>138513</v>
      </c>
      <c r="S132" s="10">
        <v>3</v>
      </c>
      <c r="T132" s="9">
        <v>235049.68</v>
      </c>
      <c r="U132" s="6">
        <v>53</v>
      </c>
      <c r="V132" t="s">
        <v>42</v>
      </c>
    </row>
    <row r="133" spans="1:22" x14ac:dyDescent="0.25">
      <c r="A133" t="s">
        <v>265</v>
      </c>
      <c r="B133" s="1">
        <v>45917</v>
      </c>
      <c r="C133" s="7">
        <f>YEAR(Table2[[#This Row],[Date]])</f>
        <v>2025</v>
      </c>
      <c r="D133" t="s">
        <v>89</v>
      </c>
      <c r="E133" t="s">
        <v>23</v>
      </c>
      <c r="F133" t="s">
        <v>38</v>
      </c>
      <c r="G133" t="b">
        <v>0</v>
      </c>
      <c r="H133" s="10">
        <v>1</v>
      </c>
      <c r="I133" s="10">
        <v>2</v>
      </c>
      <c r="J133" t="s">
        <v>54</v>
      </c>
      <c r="K133" s="9">
        <v>21165</v>
      </c>
      <c r="L133" t="s">
        <v>215</v>
      </c>
      <c r="M133" t="s">
        <v>34</v>
      </c>
      <c r="N133" s="7">
        <v>20</v>
      </c>
      <c r="O133" s="10">
        <v>2</v>
      </c>
      <c r="P133" s="7">
        <v>1</v>
      </c>
      <c r="Q133" t="s">
        <v>46</v>
      </c>
      <c r="R133" s="9">
        <v>31295</v>
      </c>
      <c r="S133" s="10">
        <v>5</v>
      </c>
      <c r="T133" s="9">
        <v>176581.02</v>
      </c>
      <c r="U133" s="6">
        <v>30</v>
      </c>
      <c r="V133" t="s">
        <v>29</v>
      </c>
    </row>
    <row r="134" spans="1:22" x14ac:dyDescent="0.25">
      <c r="A134" t="s">
        <v>266</v>
      </c>
      <c r="B134" s="1">
        <v>45539</v>
      </c>
      <c r="C134" s="7">
        <f>YEAR(Table2[[#This Row],[Date]])</f>
        <v>2024</v>
      </c>
      <c r="D134" t="s">
        <v>22</v>
      </c>
      <c r="E134" t="s">
        <v>48</v>
      </c>
      <c r="F134" t="s">
        <v>38</v>
      </c>
      <c r="G134" t="b">
        <v>0</v>
      </c>
      <c r="H134" s="10">
        <v>3</v>
      </c>
      <c r="I134" s="10">
        <v>4</v>
      </c>
      <c r="J134" t="s">
        <v>54</v>
      </c>
      <c r="K134" s="9">
        <v>5226</v>
      </c>
      <c r="L134" t="s">
        <v>90</v>
      </c>
      <c r="M134" t="s">
        <v>61</v>
      </c>
      <c r="N134" s="7">
        <v>19</v>
      </c>
      <c r="O134" s="10">
        <v>0</v>
      </c>
      <c r="P134" s="7">
        <v>1</v>
      </c>
      <c r="Q134" t="s">
        <v>87</v>
      </c>
      <c r="R134" s="9">
        <v>119118</v>
      </c>
      <c r="S134" s="10">
        <v>8.32</v>
      </c>
      <c r="T134" s="9">
        <v>190497.29</v>
      </c>
      <c r="U134" s="6">
        <v>38</v>
      </c>
      <c r="V134" t="s">
        <v>29</v>
      </c>
    </row>
    <row r="135" spans="1:22" x14ac:dyDescent="0.25">
      <c r="A135" t="s">
        <v>267</v>
      </c>
      <c r="B135" s="1">
        <v>45438</v>
      </c>
      <c r="C135" s="7">
        <f>YEAR(Table2[[#This Row],[Date]])</f>
        <v>2024</v>
      </c>
      <c r="D135" t="s">
        <v>31</v>
      </c>
      <c r="E135" t="s">
        <v>83</v>
      </c>
      <c r="F135" t="s">
        <v>44</v>
      </c>
      <c r="G135" t="b">
        <v>1</v>
      </c>
      <c r="H135" s="10">
        <v>1</v>
      </c>
      <c r="I135" s="10">
        <v>4</v>
      </c>
      <c r="J135" t="s">
        <v>54</v>
      </c>
      <c r="K135" s="9">
        <v>28625</v>
      </c>
      <c r="L135" t="s">
        <v>244</v>
      </c>
      <c r="M135" t="s">
        <v>34</v>
      </c>
      <c r="N135" s="7">
        <v>64</v>
      </c>
      <c r="O135" s="10">
        <v>0</v>
      </c>
      <c r="P135" s="7">
        <v>0</v>
      </c>
      <c r="Q135" t="s">
        <v>87</v>
      </c>
      <c r="R135" s="9">
        <v>35130</v>
      </c>
      <c r="S135" s="10">
        <v>5.5</v>
      </c>
      <c r="T135" s="9">
        <v>179452.97</v>
      </c>
      <c r="U135" s="6">
        <v>25</v>
      </c>
      <c r="V135" t="s">
        <v>29</v>
      </c>
    </row>
    <row r="136" spans="1:22" x14ac:dyDescent="0.25">
      <c r="A136" t="s">
        <v>268</v>
      </c>
      <c r="B136" s="1">
        <v>45935</v>
      </c>
      <c r="C136" s="7">
        <f>YEAR(Table2[[#This Row],[Date]])</f>
        <v>2025</v>
      </c>
      <c r="D136" t="s">
        <v>22</v>
      </c>
      <c r="E136" t="s">
        <v>83</v>
      </c>
      <c r="F136" t="s">
        <v>24</v>
      </c>
      <c r="G136" t="b">
        <v>0</v>
      </c>
      <c r="H136" s="10">
        <v>5</v>
      </c>
      <c r="I136" s="10">
        <v>1</v>
      </c>
      <c r="J136" t="s">
        <v>25</v>
      </c>
      <c r="K136" s="9">
        <v>50488</v>
      </c>
      <c r="L136" t="s">
        <v>155</v>
      </c>
      <c r="M136" t="s">
        <v>61</v>
      </c>
      <c r="N136" s="7">
        <v>30</v>
      </c>
      <c r="O136" s="10">
        <v>0</v>
      </c>
      <c r="P136" s="7">
        <v>0</v>
      </c>
      <c r="Q136" t="s">
        <v>28</v>
      </c>
      <c r="R136" s="9">
        <v>61971</v>
      </c>
      <c r="S136" s="10">
        <v>3.09</v>
      </c>
      <c r="T136" s="9">
        <v>151835.5</v>
      </c>
      <c r="U136" s="6">
        <v>59</v>
      </c>
      <c r="V136" t="s">
        <v>42</v>
      </c>
    </row>
    <row r="137" spans="1:22" x14ac:dyDescent="0.25">
      <c r="A137" t="s">
        <v>269</v>
      </c>
      <c r="B137" s="1">
        <v>45815</v>
      </c>
      <c r="C137" s="7">
        <f>YEAR(Table2[[#This Row],[Date]])</f>
        <v>2025</v>
      </c>
      <c r="D137" t="s">
        <v>97</v>
      </c>
      <c r="E137" t="s">
        <v>66</v>
      </c>
      <c r="F137" t="s">
        <v>44</v>
      </c>
      <c r="G137" t="b">
        <v>1</v>
      </c>
      <c r="H137" s="10">
        <v>4</v>
      </c>
      <c r="I137" s="10">
        <v>1</v>
      </c>
      <c r="J137" t="s">
        <v>25</v>
      </c>
      <c r="K137" s="9">
        <v>12354</v>
      </c>
      <c r="L137" t="s">
        <v>64</v>
      </c>
      <c r="M137" t="s">
        <v>27</v>
      </c>
      <c r="N137" s="7">
        <v>76</v>
      </c>
      <c r="O137" s="10">
        <v>2</v>
      </c>
      <c r="P137" s="7">
        <v>1</v>
      </c>
      <c r="Q137" t="s">
        <v>62</v>
      </c>
      <c r="R137" s="9">
        <v>127022</v>
      </c>
      <c r="S137" s="10">
        <v>8.67</v>
      </c>
      <c r="T137" s="9">
        <v>224759.82</v>
      </c>
      <c r="U137" s="6">
        <v>28</v>
      </c>
      <c r="V137" t="s">
        <v>42</v>
      </c>
    </row>
    <row r="138" spans="1:22" x14ac:dyDescent="0.25">
      <c r="A138" t="s">
        <v>270</v>
      </c>
      <c r="B138" s="1">
        <v>45884</v>
      </c>
      <c r="C138" s="7">
        <f>YEAR(Table2[[#This Row],[Date]])</f>
        <v>2025</v>
      </c>
      <c r="D138" t="s">
        <v>31</v>
      </c>
      <c r="E138" t="s">
        <v>32</v>
      </c>
      <c r="F138" t="s">
        <v>44</v>
      </c>
      <c r="G138" t="b">
        <v>1</v>
      </c>
      <c r="H138" s="10">
        <v>1</v>
      </c>
      <c r="I138" s="10">
        <v>1</v>
      </c>
      <c r="J138" t="s">
        <v>39</v>
      </c>
      <c r="K138" s="9">
        <v>44412</v>
      </c>
      <c r="L138" t="s">
        <v>105</v>
      </c>
      <c r="M138" t="s">
        <v>34</v>
      </c>
      <c r="N138" s="7">
        <v>39</v>
      </c>
      <c r="O138" s="10">
        <v>2</v>
      </c>
      <c r="P138" s="7">
        <v>1</v>
      </c>
      <c r="Q138" t="s">
        <v>87</v>
      </c>
      <c r="R138" s="9">
        <v>101558</v>
      </c>
      <c r="S138" s="10">
        <v>8.18</v>
      </c>
      <c r="T138" s="9">
        <v>167778.1</v>
      </c>
      <c r="U138" s="6">
        <v>47</v>
      </c>
      <c r="V138" t="s">
        <v>29</v>
      </c>
    </row>
    <row r="139" spans="1:22" x14ac:dyDescent="0.25">
      <c r="A139" t="s">
        <v>271</v>
      </c>
      <c r="B139" s="1">
        <v>45641</v>
      </c>
      <c r="C139" s="7">
        <f>YEAR(Table2[[#This Row],[Date]])</f>
        <v>2024</v>
      </c>
      <c r="D139" t="s">
        <v>97</v>
      </c>
      <c r="E139" t="s">
        <v>72</v>
      </c>
      <c r="F139" t="s">
        <v>38</v>
      </c>
      <c r="G139" t="b">
        <v>0</v>
      </c>
      <c r="H139" s="10">
        <v>3</v>
      </c>
      <c r="I139" s="10">
        <v>3</v>
      </c>
      <c r="J139" t="s">
        <v>39</v>
      </c>
      <c r="K139" s="9">
        <v>9227</v>
      </c>
      <c r="L139" t="s">
        <v>118</v>
      </c>
      <c r="M139" t="s">
        <v>27</v>
      </c>
      <c r="N139" s="7">
        <v>12</v>
      </c>
      <c r="O139" s="10">
        <v>1</v>
      </c>
      <c r="P139" s="7">
        <v>1</v>
      </c>
      <c r="Q139" t="s">
        <v>81</v>
      </c>
      <c r="R139" s="9">
        <v>116975</v>
      </c>
      <c r="S139" s="10">
        <v>5.99</v>
      </c>
      <c r="T139" s="9">
        <v>217928.73</v>
      </c>
      <c r="U139" s="6">
        <v>38</v>
      </c>
      <c r="V139" t="s">
        <v>42</v>
      </c>
    </row>
    <row r="140" spans="1:22" x14ac:dyDescent="0.25">
      <c r="A140" t="s">
        <v>272</v>
      </c>
      <c r="B140" s="1">
        <v>45611</v>
      </c>
      <c r="C140" s="7">
        <f>YEAR(Table2[[#This Row],[Date]])</f>
        <v>2024</v>
      </c>
      <c r="D140" t="s">
        <v>97</v>
      </c>
      <c r="E140" t="s">
        <v>83</v>
      </c>
      <c r="F140" t="s">
        <v>38</v>
      </c>
      <c r="G140" t="b">
        <v>0</v>
      </c>
      <c r="H140" s="10">
        <v>0</v>
      </c>
      <c r="I140" s="10">
        <v>4</v>
      </c>
      <c r="J140" t="s">
        <v>54</v>
      </c>
      <c r="K140" s="9">
        <v>43795</v>
      </c>
      <c r="L140" t="s">
        <v>112</v>
      </c>
      <c r="M140" t="s">
        <v>61</v>
      </c>
      <c r="N140" s="7">
        <v>77</v>
      </c>
      <c r="O140" s="10">
        <v>2</v>
      </c>
      <c r="P140" s="7">
        <v>0</v>
      </c>
      <c r="Q140" t="s">
        <v>51</v>
      </c>
      <c r="R140" s="9">
        <v>57390</v>
      </c>
      <c r="S140" s="10">
        <v>5.6</v>
      </c>
      <c r="T140" s="9">
        <v>186003.66</v>
      </c>
      <c r="U140" s="6">
        <v>42</v>
      </c>
      <c r="V140" t="s">
        <v>42</v>
      </c>
    </row>
    <row r="141" spans="1:22" x14ac:dyDescent="0.25">
      <c r="A141" t="s">
        <v>273</v>
      </c>
      <c r="B141" s="1">
        <v>45433</v>
      </c>
      <c r="C141" s="7">
        <f>YEAR(Table2[[#This Row],[Date]])</f>
        <v>2024</v>
      </c>
      <c r="D141" t="s">
        <v>69</v>
      </c>
      <c r="E141" t="s">
        <v>23</v>
      </c>
      <c r="F141" t="s">
        <v>38</v>
      </c>
      <c r="G141" t="b">
        <v>1</v>
      </c>
      <c r="H141" s="10">
        <v>1</v>
      </c>
      <c r="I141" s="10">
        <v>4</v>
      </c>
      <c r="J141" t="s">
        <v>54</v>
      </c>
      <c r="K141" s="9">
        <v>43576</v>
      </c>
      <c r="L141" t="s">
        <v>166</v>
      </c>
      <c r="M141" t="s">
        <v>34</v>
      </c>
      <c r="N141" s="7">
        <v>62</v>
      </c>
      <c r="O141" s="10">
        <v>1</v>
      </c>
      <c r="P141" s="7">
        <v>0</v>
      </c>
      <c r="Q141" t="s">
        <v>87</v>
      </c>
      <c r="R141" s="9">
        <v>135182</v>
      </c>
      <c r="S141" s="10">
        <v>3.43</v>
      </c>
      <c r="T141" s="9">
        <v>154509.73000000001</v>
      </c>
      <c r="U141" s="6">
        <v>62</v>
      </c>
      <c r="V141" t="s">
        <v>29</v>
      </c>
    </row>
    <row r="142" spans="1:22" x14ac:dyDescent="0.25">
      <c r="A142" t="s">
        <v>274</v>
      </c>
      <c r="B142" s="1">
        <v>45331</v>
      </c>
      <c r="C142" s="7">
        <f>YEAR(Table2[[#This Row],[Date]])</f>
        <v>2024</v>
      </c>
      <c r="D142" t="s">
        <v>22</v>
      </c>
      <c r="E142" t="s">
        <v>83</v>
      </c>
      <c r="F142" t="s">
        <v>24</v>
      </c>
      <c r="G142" t="b">
        <v>1</v>
      </c>
      <c r="H142" s="10">
        <v>4</v>
      </c>
      <c r="I142" s="10">
        <v>3</v>
      </c>
      <c r="J142" t="s">
        <v>25</v>
      </c>
      <c r="K142" s="9">
        <v>54033</v>
      </c>
      <c r="L142" t="s">
        <v>60</v>
      </c>
      <c r="M142" t="s">
        <v>50</v>
      </c>
      <c r="N142" s="7">
        <v>78</v>
      </c>
      <c r="O142" s="10">
        <v>1</v>
      </c>
      <c r="P142" s="7">
        <v>0</v>
      </c>
      <c r="Q142" t="s">
        <v>87</v>
      </c>
      <c r="R142" s="9">
        <v>13681</v>
      </c>
      <c r="S142" s="10">
        <v>4.2</v>
      </c>
      <c r="T142" s="9">
        <v>30515.279999999999</v>
      </c>
      <c r="U142" s="6">
        <v>53</v>
      </c>
      <c r="V142" t="s">
        <v>42</v>
      </c>
    </row>
    <row r="143" spans="1:22" x14ac:dyDescent="0.25">
      <c r="A143" t="s">
        <v>275</v>
      </c>
      <c r="B143" s="1">
        <v>45715</v>
      </c>
      <c r="C143" s="7">
        <f>YEAR(Table2[[#This Row],[Date]])</f>
        <v>2025</v>
      </c>
      <c r="D143" t="s">
        <v>22</v>
      </c>
      <c r="E143" t="s">
        <v>37</v>
      </c>
      <c r="F143" t="s">
        <v>24</v>
      </c>
      <c r="G143" t="b">
        <v>0</v>
      </c>
      <c r="H143" s="10">
        <v>1</v>
      </c>
      <c r="I143" s="10">
        <v>2</v>
      </c>
      <c r="J143" t="s">
        <v>54</v>
      </c>
      <c r="K143" s="9">
        <v>41596</v>
      </c>
      <c r="L143" t="s">
        <v>139</v>
      </c>
      <c r="M143" t="s">
        <v>27</v>
      </c>
      <c r="N143" s="7">
        <v>82</v>
      </c>
      <c r="O143" s="10">
        <v>0</v>
      </c>
      <c r="P143" s="7">
        <v>1</v>
      </c>
      <c r="Q143" t="s">
        <v>87</v>
      </c>
      <c r="R143" s="9">
        <v>29642</v>
      </c>
      <c r="S143" s="10">
        <v>6.13</v>
      </c>
      <c r="T143" s="9">
        <v>164904.26</v>
      </c>
      <c r="U143" s="6">
        <v>22</v>
      </c>
      <c r="V143" t="s">
        <v>42</v>
      </c>
    </row>
    <row r="144" spans="1:22" x14ac:dyDescent="0.25">
      <c r="A144" t="s">
        <v>276</v>
      </c>
      <c r="B144" s="1">
        <v>45931</v>
      </c>
      <c r="C144" s="7">
        <f>YEAR(Table2[[#This Row],[Date]])</f>
        <v>2025</v>
      </c>
      <c r="D144" t="s">
        <v>97</v>
      </c>
      <c r="E144" t="s">
        <v>83</v>
      </c>
      <c r="F144" t="s">
        <v>44</v>
      </c>
      <c r="G144" t="b">
        <v>0</v>
      </c>
      <c r="H144" s="10">
        <v>3</v>
      </c>
      <c r="I144" s="10">
        <v>3</v>
      </c>
      <c r="J144" t="s">
        <v>39</v>
      </c>
      <c r="K144" s="9">
        <v>48599</v>
      </c>
      <c r="L144" t="s">
        <v>115</v>
      </c>
      <c r="M144" t="s">
        <v>61</v>
      </c>
      <c r="N144" s="7">
        <v>88</v>
      </c>
      <c r="O144" s="10">
        <v>1</v>
      </c>
      <c r="P144" s="7">
        <v>1</v>
      </c>
      <c r="Q144" t="s">
        <v>62</v>
      </c>
      <c r="R144" s="9">
        <v>60010</v>
      </c>
      <c r="S144" s="10">
        <v>5.76</v>
      </c>
      <c r="T144" s="9">
        <v>159790.28</v>
      </c>
      <c r="U144" s="6">
        <v>27</v>
      </c>
      <c r="V144" t="s">
        <v>29</v>
      </c>
    </row>
    <row r="145" spans="1:22" x14ac:dyDescent="0.25">
      <c r="A145" t="s">
        <v>277</v>
      </c>
      <c r="B145" s="1">
        <v>45479</v>
      </c>
      <c r="C145" s="7">
        <f>YEAR(Table2[[#This Row],[Date]])</f>
        <v>2024</v>
      </c>
      <c r="D145" t="s">
        <v>69</v>
      </c>
      <c r="E145" t="s">
        <v>37</v>
      </c>
      <c r="F145" t="s">
        <v>44</v>
      </c>
      <c r="G145" t="b">
        <v>0</v>
      </c>
      <c r="H145" s="10">
        <v>5</v>
      </c>
      <c r="I145" s="10">
        <v>2</v>
      </c>
      <c r="J145" t="s">
        <v>25</v>
      </c>
      <c r="K145" s="9">
        <v>50182</v>
      </c>
      <c r="L145" t="s">
        <v>192</v>
      </c>
      <c r="M145" t="s">
        <v>34</v>
      </c>
      <c r="N145" s="7">
        <v>63</v>
      </c>
      <c r="O145" s="10">
        <v>0</v>
      </c>
      <c r="P145" s="7">
        <v>1</v>
      </c>
      <c r="Q145" t="s">
        <v>46</v>
      </c>
      <c r="R145" s="9">
        <v>76793</v>
      </c>
      <c r="S145" s="10">
        <v>5.29</v>
      </c>
      <c r="T145" s="9">
        <v>244378.72</v>
      </c>
      <c r="U145" s="6">
        <v>56</v>
      </c>
      <c r="V145" t="s">
        <v>42</v>
      </c>
    </row>
    <row r="146" spans="1:22" x14ac:dyDescent="0.25">
      <c r="A146" t="s">
        <v>278</v>
      </c>
      <c r="B146" s="1">
        <v>45342</v>
      </c>
      <c r="C146" s="7">
        <f>YEAR(Table2[[#This Row],[Date]])</f>
        <v>2024</v>
      </c>
      <c r="D146" t="s">
        <v>22</v>
      </c>
      <c r="E146" t="s">
        <v>48</v>
      </c>
      <c r="F146" t="s">
        <v>24</v>
      </c>
      <c r="G146" t="b">
        <v>1</v>
      </c>
      <c r="H146" s="10">
        <v>3</v>
      </c>
      <c r="I146" s="10">
        <v>0</v>
      </c>
      <c r="J146" t="s">
        <v>25</v>
      </c>
      <c r="K146" s="9">
        <v>51153</v>
      </c>
      <c r="L146" t="s">
        <v>215</v>
      </c>
      <c r="M146" t="s">
        <v>34</v>
      </c>
      <c r="N146" s="7">
        <v>66</v>
      </c>
      <c r="O146" s="10">
        <v>0</v>
      </c>
      <c r="P146" s="7">
        <v>1</v>
      </c>
      <c r="Q146" t="s">
        <v>81</v>
      </c>
      <c r="R146" s="9">
        <v>137809</v>
      </c>
      <c r="S146" s="10">
        <v>5.54</v>
      </c>
      <c r="T146" s="9">
        <v>80464.84</v>
      </c>
      <c r="U146" s="6">
        <v>26</v>
      </c>
      <c r="V146" t="s">
        <v>42</v>
      </c>
    </row>
    <row r="147" spans="1:22" x14ac:dyDescent="0.25">
      <c r="A147" t="s">
        <v>279</v>
      </c>
      <c r="B147" s="1">
        <v>45436</v>
      </c>
      <c r="C147" s="7">
        <f>YEAR(Table2[[#This Row],[Date]])</f>
        <v>2024</v>
      </c>
      <c r="D147" t="s">
        <v>31</v>
      </c>
      <c r="E147" t="s">
        <v>66</v>
      </c>
      <c r="F147" t="s">
        <v>24</v>
      </c>
      <c r="G147" t="b">
        <v>0</v>
      </c>
      <c r="H147" s="10">
        <v>3</v>
      </c>
      <c r="I147" s="10">
        <v>1</v>
      </c>
      <c r="J147" t="s">
        <v>25</v>
      </c>
      <c r="K147" s="9">
        <v>47651</v>
      </c>
      <c r="L147" t="s">
        <v>33</v>
      </c>
      <c r="M147" t="s">
        <v>27</v>
      </c>
      <c r="N147" s="7">
        <v>19</v>
      </c>
      <c r="O147" s="10">
        <v>1</v>
      </c>
      <c r="P147" s="7">
        <v>2</v>
      </c>
      <c r="Q147" t="s">
        <v>28</v>
      </c>
      <c r="R147" s="9">
        <v>69740</v>
      </c>
      <c r="S147" s="10">
        <v>5.97</v>
      </c>
      <c r="T147" s="9">
        <v>12823.45</v>
      </c>
      <c r="U147" s="6">
        <v>48</v>
      </c>
      <c r="V147" t="s">
        <v>29</v>
      </c>
    </row>
    <row r="148" spans="1:22" x14ac:dyDescent="0.25">
      <c r="A148" t="s">
        <v>280</v>
      </c>
      <c r="B148" s="1">
        <v>45806</v>
      </c>
      <c r="C148" s="7">
        <f>YEAR(Table2[[#This Row],[Date]])</f>
        <v>2025</v>
      </c>
      <c r="D148" t="s">
        <v>53</v>
      </c>
      <c r="E148" t="s">
        <v>23</v>
      </c>
      <c r="F148" t="s">
        <v>44</v>
      </c>
      <c r="G148" t="b">
        <v>1</v>
      </c>
      <c r="H148" s="10">
        <v>5</v>
      </c>
      <c r="I148" s="10">
        <v>4</v>
      </c>
      <c r="J148" t="s">
        <v>25</v>
      </c>
      <c r="K148" s="9">
        <v>45900</v>
      </c>
      <c r="L148" t="s">
        <v>163</v>
      </c>
      <c r="M148" t="s">
        <v>50</v>
      </c>
      <c r="N148" s="7">
        <v>90</v>
      </c>
      <c r="O148" s="10">
        <v>0</v>
      </c>
      <c r="P148" s="7">
        <v>0</v>
      </c>
      <c r="Q148" t="s">
        <v>28</v>
      </c>
      <c r="R148" s="9">
        <v>118740</v>
      </c>
      <c r="S148" s="10">
        <v>3.7</v>
      </c>
      <c r="T148" s="9">
        <v>45530.42</v>
      </c>
      <c r="U148" s="6">
        <v>62</v>
      </c>
      <c r="V148" t="s">
        <v>42</v>
      </c>
    </row>
    <row r="149" spans="1:22" x14ac:dyDescent="0.25">
      <c r="A149" t="s">
        <v>281</v>
      </c>
      <c r="B149" s="1">
        <v>45615</v>
      </c>
      <c r="C149" s="7">
        <f>YEAR(Table2[[#This Row],[Date]])</f>
        <v>2024</v>
      </c>
      <c r="D149" t="s">
        <v>36</v>
      </c>
      <c r="E149" t="s">
        <v>48</v>
      </c>
      <c r="F149" t="s">
        <v>24</v>
      </c>
      <c r="G149" t="b">
        <v>1</v>
      </c>
      <c r="H149" s="10">
        <v>0</v>
      </c>
      <c r="I149" s="10">
        <v>2</v>
      </c>
      <c r="J149" t="s">
        <v>54</v>
      </c>
      <c r="K149" s="9">
        <v>7139</v>
      </c>
      <c r="L149" t="s">
        <v>231</v>
      </c>
      <c r="M149" t="s">
        <v>61</v>
      </c>
      <c r="N149" s="7">
        <v>84</v>
      </c>
      <c r="O149" s="10">
        <v>0</v>
      </c>
      <c r="P149" s="7">
        <v>1</v>
      </c>
      <c r="Q149" t="s">
        <v>87</v>
      </c>
      <c r="R149" s="9">
        <v>71651</v>
      </c>
      <c r="S149" s="10">
        <v>8.44</v>
      </c>
      <c r="T149" s="9">
        <v>50738.15</v>
      </c>
      <c r="U149" s="6">
        <v>46</v>
      </c>
      <c r="V149" t="s">
        <v>29</v>
      </c>
    </row>
    <row r="150" spans="1:22" x14ac:dyDescent="0.25">
      <c r="A150" t="s">
        <v>282</v>
      </c>
      <c r="B150" s="1">
        <v>45831</v>
      </c>
      <c r="C150" s="7">
        <f>YEAR(Table2[[#This Row],[Date]])</f>
        <v>2025</v>
      </c>
      <c r="D150" t="s">
        <v>53</v>
      </c>
      <c r="E150" t="s">
        <v>83</v>
      </c>
      <c r="F150" t="s">
        <v>38</v>
      </c>
      <c r="G150" t="b">
        <v>0</v>
      </c>
      <c r="H150" s="10">
        <v>2</v>
      </c>
      <c r="I150" s="10">
        <v>1</v>
      </c>
      <c r="J150" t="s">
        <v>25</v>
      </c>
      <c r="K150" s="9">
        <v>6330</v>
      </c>
      <c r="L150" t="s">
        <v>107</v>
      </c>
      <c r="M150" t="s">
        <v>34</v>
      </c>
      <c r="N150" s="7">
        <v>63</v>
      </c>
      <c r="O150" s="10">
        <v>1</v>
      </c>
      <c r="P150" s="7">
        <v>0</v>
      </c>
      <c r="Q150" t="s">
        <v>46</v>
      </c>
      <c r="R150" s="9">
        <v>95735</v>
      </c>
      <c r="S150" s="10">
        <v>9.1199999999999992</v>
      </c>
      <c r="T150" s="9">
        <v>248747.65</v>
      </c>
      <c r="U150" s="6">
        <v>52</v>
      </c>
      <c r="V150" t="s">
        <v>29</v>
      </c>
    </row>
    <row r="151" spans="1:22" x14ac:dyDescent="0.25">
      <c r="A151" t="s">
        <v>283</v>
      </c>
      <c r="B151" s="1">
        <v>45564</v>
      </c>
      <c r="C151" s="7">
        <f>YEAR(Table2[[#This Row],[Date]])</f>
        <v>2024</v>
      </c>
      <c r="D151" t="s">
        <v>36</v>
      </c>
      <c r="E151" t="s">
        <v>23</v>
      </c>
      <c r="F151" t="s">
        <v>44</v>
      </c>
      <c r="G151" t="b">
        <v>1</v>
      </c>
      <c r="H151" s="10">
        <v>5</v>
      </c>
      <c r="I151" s="10">
        <v>4</v>
      </c>
      <c r="J151" t="s">
        <v>25</v>
      </c>
      <c r="K151" s="9">
        <v>32578</v>
      </c>
      <c r="L151" t="s">
        <v>133</v>
      </c>
      <c r="M151" t="s">
        <v>61</v>
      </c>
      <c r="N151" s="7">
        <v>60</v>
      </c>
      <c r="O151" s="10">
        <v>0</v>
      </c>
      <c r="P151" s="7">
        <v>0</v>
      </c>
      <c r="Q151" t="s">
        <v>51</v>
      </c>
      <c r="R151" s="9">
        <v>69842</v>
      </c>
      <c r="S151" s="10">
        <v>5.1100000000000003</v>
      </c>
      <c r="T151" s="9">
        <v>192040.88</v>
      </c>
      <c r="U151" s="6">
        <v>20</v>
      </c>
      <c r="V151" t="s">
        <v>152</v>
      </c>
    </row>
    <row r="152" spans="1:22" x14ac:dyDescent="0.25">
      <c r="A152" t="s">
        <v>284</v>
      </c>
      <c r="B152" s="1">
        <v>45865</v>
      </c>
      <c r="C152" s="7">
        <f>YEAR(Table2[[#This Row],[Date]])</f>
        <v>2025</v>
      </c>
      <c r="D152" t="s">
        <v>77</v>
      </c>
      <c r="E152" t="s">
        <v>23</v>
      </c>
      <c r="F152" t="s">
        <v>24</v>
      </c>
      <c r="G152" t="b">
        <v>1</v>
      </c>
      <c r="H152" s="10">
        <v>1</v>
      </c>
      <c r="I152" s="10">
        <v>1</v>
      </c>
      <c r="J152" t="s">
        <v>39</v>
      </c>
      <c r="K152" s="9">
        <v>47718</v>
      </c>
      <c r="L152" t="s">
        <v>285</v>
      </c>
      <c r="M152" t="s">
        <v>34</v>
      </c>
      <c r="N152" s="7">
        <v>30</v>
      </c>
      <c r="O152" s="10">
        <v>2</v>
      </c>
      <c r="P152" s="7">
        <v>1</v>
      </c>
      <c r="Q152" t="s">
        <v>28</v>
      </c>
      <c r="R152" s="9">
        <v>22384</v>
      </c>
      <c r="S152" s="10">
        <v>2.15</v>
      </c>
      <c r="T152" s="9">
        <v>134163.35999999999</v>
      </c>
      <c r="U152" s="6">
        <v>58</v>
      </c>
      <c r="V152" t="s">
        <v>29</v>
      </c>
    </row>
    <row r="153" spans="1:22" x14ac:dyDescent="0.25">
      <c r="A153" t="s">
        <v>286</v>
      </c>
      <c r="B153" s="1">
        <v>45938</v>
      </c>
      <c r="C153" s="7">
        <f>YEAR(Table2[[#This Row],[Date]])</f>
        <v>2025</v>
      </c>
      <c r="D153" t="s">
        <v>77</v>
      </c>
      <c r="E153" t="s">
        <v>83</v>
      </c>
      <c r="F153" t="s">
        <v>38</v>
      </c>
      <c r="G153" t="b">
        <v>0</v>
      </c>
      <c r="H153" s="10">
        <v>2</v>
      </c>
      <c r="I153" s="10">
        <v>3</v>
      </c>
      <c r="J153" t="s">
        <v>54</v>
      </c>
      <c r="K153" s="9">
        <v>9905</v>
      </c>
      <c r="L153" t="s">
        <v>195</v>
      </c>
      <c r="M153" t="s">
        <v>34</v>
      </c>
      <c r="N153" s="7">
        <v>67</v>
      </c>
      <c r="O153" s="10">
        <v>2</v>
      </c>
      <c r="P153" s="7">
        <v>1</v>
      </c>
      <c r="Q153" t="s">
        <v>46</v>
      </c>
      <c r="R153" s="9">
        <v>51077</v>
      </c>
      <c r="S153" s="10">
        <v>5</v>
      </c>
      <c r="T153" s="9">
        <v>211220.9</v>
      </c>
      <c r="U153" s="6">
        <v>29</v>
      </c>
      <c r="V153" t="s">
        <v>29</v>
      </c>
    </row>
    <row r="154" spans="1:22" x14ac:dyDescent="0.25">
      <c r="A154" t="s">
        <v>287</v>
      </c>
      <c r="B154" s="1">
        <v>45430</v>
      </c>
      <c r="C154" s="7">
        <f>YEAR(Table2[[#This Row],[Date]])</f>
        <v>2024</v>
      </c>
      <c r="D154" t="s">
        <v>77</v>
      </c>
      <c r="E154" t="s">
        <v>98</v>
      </c>
      <c r="F154" t="s">
        <v>44</v>
      </c>
      <c r="G154" t="b">
        <v>1</v>
      </c>
      <c r="H154" s="10">
        <v>0</v>
      </c>
      <c r="I154" s="10">
        <v>1</v>
      </c>
      <c r="J154" t="s">
        <v>54</v>
      </c>
      <c r="K154" s="9">
        <v>20061</v>
      </c>
      <c r="L154" t="s">
        <v>208</v>
      </c>
      <c r="M154" t="s">
        <v>34</v>
      </c>
      <c r="N154" s="7">
        <v>62</v>
      </c>
      <c r="O154" s="10">
        <v>0</v>
      </c>
      <c r="P154" s="7">
        <v>0</v>
      </c>
      <c r="Q154" t="s">
        <v>62</v>
      </c>
      <c r="R154" s="9">
        <v>58608</v>
      </c>
      <c r="S154" s="10">
        <v>1.31</v>
      </c>
      <c r="T154" s="9">
        <v>242362.65</v>
      </c>
      <c r="U154" s="6">
        <v>61</v>
      </c>
      <c r="V154" t="s">
        <v>29</v>
      </c>
    </row>
    <row r="155" spans="1:22" x14ac:dyDescent="0.25">
      <c r="A155" t="s">
        <v>288</v>
      </c>
      <c r="B155" s="1">
        <v>45419</v>
      </c>
      <c r="C155" s="7">
        <f>YEAR(Table2[[#This Row],[Date]])</f>
        <v>2024</v>
      </c>
      <c r="D155" t="s">
        <v>77</v>
      </c>
      <c r="E155" t="s">
        <v>66</v>
      </c>
      <c r="F155" t="s">
        <v>24</v>
      </c>
      <c r="G155" t="b">
        <v>0</v>
      </c>
      <c r="H155" s="10">
        <v>4</v>
      </c>
      <c r="I155" s="10">
        <v>1</v>
      </c>
      <c r="J155" t="s">
        <v>25</v>
      </c>
      <c r="K155" s="9">
        <v>36114</v>
      </c>
      <c r="L155" t="s">
        <v>289</v>
      </c>
      <c r="M155" t="s">
        <v>61</v>
      </c>
      <c r="N155" s="7">
        <v>11</v>
      </c>
      <c r="O155" s="10">
        <v>0</v>
      </c>
      <c r="P155" s="7">
        <v>0</v>
      </c>
      <c r="Q155" t="s">
        <v>87</v>
      </c>
      <c r="R155" s="9">
        <v>90326</v>
      </c>
      <c r="S155" s="10">
        <v>8.59</v>
      </c>
      <c r="T155" s="9">
        <v>224056.17</v>
      </c>
      <c r="U155" s="6">
        <v>37</v>
      </c>
      <c r="V155" t="s">
        <v>29</v>
      </c>
    </row>
    <row r="156" spans="1:22" x14ac:dyDescent="0.25">
      <c r="A156" t="s">
        <v>290</v>
      </c>
      <c r="B156" s="1">
        <v>45418</v>
      </c>
      <c r="C156" s="7">
        <f>YEAR(Table2[[#This Row],[Date]])</f>
        <v>2024</v>
      </c>
      <c r="D156" t="s">
        <v>22</v>
      </c>
      <c r="E156" t="s">
        <v>48</v>
      </c>
      <c r="F156" t="s">
        <v>38</v>
      </c>
      <c r="G156" t="b">
        <v>0</v>
      </c>
      <c r="H156" s="10">
        <v>3</v>
      </c>
      <c r="I156" s="10">
        <v>0</v>
      </c>
      <c r="J156" t="s">
        <v>25</v>
      </c>
      <c r="K156" s="9">
        <v>32591</v>
      </c>
      <c r="L156" t="s">
        <v>149</v>
      </c>
      <c r="M156" t="s">
        <v>61</v>
      </c>
      <c r="N156" s="7">
        <v>77</v>
      </c>
      <c r="O156" s="10">
        <v>0</v>
      </c>
      <c r="P156" s="7">
        <v>0</v>
      </c>
      <c r="Q156" t="s">
        <v>41</v>
      </c>
      <c r="R156" s="9">
        <v>134709</v>
      </c>
      <c r="S156" s="10">
        <v>1.92</v>
      </c>
      <c r="T156" s="9">
        <v>220953.21</v>
      </c>
      <c r="U156" s="6">
        <v>23</v>
      </c>
      <c r="V156" t="s">
        <v>29</v>
      </c>
    </row>
    <row r="157" spans="1:22" x14ac:dyDescent="0.25">
      <c r="A157" t="s">
        <v>292</v>
      </c>
      <c r="B157" s="1">
        <v>46015</v>
      </c>
      <c r="C157" s="7">
        <f>YEAR(Table2[[#This Row],[Date]])</f>
        <v>2025</v>
      </c>
      <c r="D157" t="s">
        <v>97</v>
      </c>
      <c r="E157" t="s">
        <v>32</v>
      </c>
      <c r="F157" t="s">
        <v>38</v>
      </c>
      <c r="G157" t="b">
        <v>0</v>
      </c>
      <c r="H157" s="10">
        <v>0</v>
      </c>
      <c r="I157" s="10">
        <v>2</v>
      </c>
      <c r="J157" t="s">
        <v>54</v>
      </c>
      <c r="K157" s="9">
        <v>33778</v>
      </c>
      <c r="L157" t="s">
        <v>293</v>
      </c>
      <c r="M157" t="s">
        <v>50</v>
      </c>
      <c r="N157" s="7">
        <v>82</v>
      </c>
      <c r="O157" s="10">
        <v>0</v>
      </c>
      <c r="P157" s="7">
        <v>1</v>
      </c>
      <c r="Q157" t="s">
        <v>46</v>
      </c>
      <c r="R157" s="9">
        <v>136292</v>
      </c>
      <c r="S157" s="10">
        <v>8.0500000000000007</v>
      </c>
      <c r="T157" s="9">
        <v>110345.42</v>
      </c>
      <c r="U157" s="6">
        <v>28</v>
      </c>
      <c r="V157" t="s">
        <v>29</v>
      </c>
    </row>
    <row r="158" spans="1:22" x14ac:dyDescent="0.25">
      <c r="A158" t="s">
        <v>294</v>
      </c>
      <c r="B158" s="1">
        <v>45933</v>
      </c>
      <c r="C158" s="7">
        <f>YEAR(Table2[[#This Row],[Date]])</f>
        <v>2025</v>
      </c>
      <c r="D158" t="s">
        <v>31</v>
      </c>
      <c r="E158" t="s">
        <v>72</v>
      </c>
      <c r="F158" t="s">
        <v>44</v>
      </c>
      <c r="G158" t="b">
        <v>1</v>
      </c>
      <c r="H158" s="10">
        <v>5</v>
      </c>
      <c r="I158" s="10">
        <v>0</v>
      </c>
      <c r="J158" t="s">
        <v>25</v>
      </c>
      <c r="K158" s="9">
        <v>19847</v>
      </c>
      <c r="L158" t="s">
        <v>172</v>
      </c>
      <c r="M158" t="s">
        <v>61</v>
      </c>
      <c r="N158" s="7">
        <v>69</v>
      </c>
      <c r="O158" s="10">
        <v>1</v>
      </c>
      <c r="P158" s="7">
        <v>2</v>
      </c>
      <c r="Q158" t="s">
        <v>28</v>
      </c>
      <c r="R158" s="9">
        <v>112714</v>
      </c>
      <c r="S158" s="10">
        <v>7.53</v>
      </c>
      <c r="T158" s="9">
        <v>57879.68</v>
      </c>
      <c r="U158" s="6">
        <v>58</v>
      </c>
      <c r="V158" t="s">
        <v>29</v>
      </c>
    </row>
    <row r="159" spans="1:22" x14ac:dyDescent="0.25">
      <c r="A159" t="s">
        <v>295</v>
      </c>
      <c r="B159" s="1">
        <v>45568</v>
      </c>
      <c r="C159" s="7">
        <f>YEAR(Table2[[#This Row],[Date]])</f>
        <v>2024</v>
      </c>
      <c r="D159" t="s">
        <v>53</v>
      </c>
      <c r="E159" t="s">
        <v>98</v>
      </c>
      <c r="F159" t="s">
        <v>44</v>
      </c>
      <c r="G159" t="b">
        <v>1</v>
      </c>
      <c r="H159" s="10">
        <v>5</v>
      </c>
      <c r="I159" s="10">
        <v>4</v>
      </c>
      <c r="J159" t="s">
        <v>25</v>
      </c>
      <c r="K159" s="9">
        <v>17578</v>
      </c>
      <c r="L159" t="s">
        <v>129</v>
      </c>
      <c r="M159" t="s">
        <v>27</v>
      </c>
      <c r="N159" s="7">
        <v>30</v>
      </c>
      <c r="O159" s="10">
        <v>1</v>
      </c>
      <c r="P159" s="7">
        <v>0</v>
      </c>
      <c r="Q159" t="s">
        <v>41</v>
      </c>
      <c r="R159" s="9">
        <v>120668</v>
      </c>
      <c r="S159" s="10">
        <v>4.58</v>
      </c>
      <c r="T159" s="9">
        <v>50247.73</v>
      </c>
      <c r="U159" s="6">
        <v>57</v>
      </c>
      <c r="V159" t="s">
        <v>42</v>
      </c>
    </row>
    <row r="160" spans="1:22" x14ac:dyDescent="0.25">
      <c r="A160" t="s">
        <v>297</v>
      </c>
      <c r="B160" s="1">
        <v>45455</v>
      </c>
      <c r="C160" s="7">
        <f>YEAR(Table2[[#This Row],[Date]])</f>
        <v>2024</v>
      </c>
      <c r="D160" t="s">
        <v>31</v>
      </c>
      <c r="E160" t="s">
        <v>66</v>
      </c>
      <c r="F160" t="s">
        <v>38</v>
      </c>
      <c r="G160" t="b">
        <v>1</v>
      </c>
      <c r="H160" s="10">
        <v>2</v>
      </c>
      <c r="I160" s="10">
        <v>1</v>
      </c>
      <c r="J160" t="s">
        <v>25</v>
      </c>
      <c r="K160" s="9">
        <v>30861</v>
      </c>
      <c r="L160" t="s">
        <v>178</v>
      </c>
      <c r="M160" t="s">
        <v>34</v>
      </c>
      <c r="N160" s="7">
        <v>94</v>
      </c>
      <c r="O160" s="10">
        <v>2</v>
      </c>
      <c r="P160" s="7">
        <v>0</v>
      </c>
      <c r="Q160" t="s">
        <v>41</v>
      </c>
      <c r="R160" s="9">
        <v>60588</v>
      </c>
      <c r="S160" s="10">
        <v>6.37</v>
      </c>
      <c r="T160" s="9">
        <v>199794.63</v>
      </c>
      <c r="U160" s="6">
        <v>20</v>
      </c>
      <c r="V160" t="s">
        <v>42</v>
      </c>
    </row>
    <row r="161" spans="1:22" x14ac:dyDescent="0.25">
      <c r="A161" t="s">
        <v>298</v>
      </c>
      <c r="B161" s="1">
        <v>45341</v>
      </c>
      <c r="C161" s="7">
        <f>YEAR(Table2[[#This Row],[Date]])</f>
        <v>2024</v>
      </c>
      <c r="D161" t="s">
        <v>69</v>
      </c>
      <c r="E161" t="s">
        <v>48</v>
      </c>
      <c r="F161" t="s">
        <v>44</v>
      </c>
      <c r="G161" t="b">
        <v>1</v>
      </c>
      <c r="H161" s="10">
        <v>5</v>
      </c>
      <c r="I161" s="10">
        <v>1</v>
      </c>
      <c r="J161" t="s">
        <v>25</v>
      </c>
      <c r="K161" s="9">
        <v>50157</v>
      </c>
      <c r="L161" t="s">
        <v>103</v>
      </c>
      <c r="M161" t="s">
        <v>34</v>
      </c>
      <c r="N161" s="7">
        <v>81</v>
      </c>
      <c r="O161" s="10">
        <v>0</v>
      </c>
      <c r="P161" s="7">
        <v>0</v>
      </c>
      <c r="Q161" t="s">
        <v>51</v>
      </c>
      <c r="R161" s="9">
        <v>112610</v>
      </c>
      <c r="S161" s="10">
        <v>8.85</v>
      </c>
      <c r="T161" s="9">
        <v>90549.35</v>
      </c>
      <c r="U161" s="6">
        <v>38</v>
      </c>
      <c r="V161" t="s">
        <v>29</v>
      </c>
    </row>
    <row r="162" spans="1:22" x14ac:dyDescent="0.25">
      <c r="A162" t="s">
        <v>299</v>
      </c>
      <c r="B162" s="1">
        <v>45819</v>
      </c>
      <c r="C162" s="7">
        <f>YEAR(Table2[[#This Row],[Date]])</f>
        <v>2025</v>
      </c>
      <c r="D162" t="s">
        <v>89</v>
      </c>
      <c r="E162" t="s">
        <v>66</v>
      </c>
      <c r="F162" t="s">
        <v>24</v>
      </c>
      <c r="G162" t="b">
        <v>1</v>
      </c>
      <c r="H162" s="10">
        <v>0</v>
      </c>
      <c r="I162" s="10">
        <v>4</v>
      </c>
      <c r="J162" t="s">
        <v>54</v>
      </c>
      <c r="K162" s="9">
        <v>36777</v>
      </c>
      <c r="L162" t="s">
        <v>33</v>
      </c>
      <c r="M162" t="s">
        <v>50</v>
      </c>
      <c r="N162" s="7">
        <v>11</v>
      </c>
      <c r="O162" s="10">
        <v>0</v>
      </c>
      <c r="P162" s="7">
        <v>1</v>
      </c>
      <c r="Q162" t="s">
        <v>87</v>
      </c>
      <c r="R162" s="9">
        <v>16219</v>
      </c>
      <c r="S162" s="10">
        <v>9.3800000000000008</v>
      </c>
      <c r="T162" s="9">
        <v>229689.15</v>
      </c>
      <c r="U162" s="6">
        <v>53</v>
      </c>
      <c r="V162" t="s">
        <v>29</v>
      </c>
    </row>
    <row r="163" spans="1:22" x14ac:dyDescent="0.25">
      <c r="A163" t="s">
        <v>300</v>
      </c>
      <c r="B163" s="1">
        <v>45788</v>
      </c>
      <c r="C163" s="7">
        <f>YEAR(Table2[[#This Row],[Date]])</f>
        <v>2025</v>
      </c>
      <c r="D163" t="s">
        <v>89</v>
      </c>
      <c r="E163" t="s">
        <v>72</v>
      </c>
      <c r="F163" t="s">
        <v>44</v>
      </c>
      <c r="G163" t="b">
        <v>1</v>
      </c>
      <c r="H163" s="10">
        <v>1</v>
      </c>
      <c r="I163" s="10">
        <v>4</v>
      </c>
      <c r="J163" t="s">
        <v>54</v>
      </c>
      <c r="K163" s="9">
        <v>6630</v>
      </c>
      <c r="L163" t="s">
        <v>45</v>
      </c>
      <c r="M163" t="s">
        <v>34</v>
      </c>
      <c r="N163" s="7">
        <v>67</v>
      </c>
      <c r="O163" s="10">
        <v>0</v>
      </c>
      <c r="P163" s="7">
        <v>0</v>
      </c>
      <c r="Q163" t="s">
        <v>41</v>
      </c>
      <c r="R163" s="9">
        <v>116421</v>
      </c>
      <c r="S163" s="10">
        <v>8.19</v>
      </c>
      <c r="T163" s="9">
        <v>41954.68</v>
      </c>
      <c r="U163" s="6">
        <v>57</v>
      </c>
      <c r="V163" t="s">
        <v>42</v>
      </c>
    </row>
    <row r="164" spans="1:22" x14ac:dyDescent="0.25">
      <c r="A164" t="s">
        <v>302</v>
      </c>
      <c r="B164" s="1">
        <v>45993</v>
      </c>
      <c r="C164" s="7">
        <f>YEAR(Table2[[#This Row],[Date]])</f>
        <v>2025</v>
      </c>
      <c r="D164" t="s">
        <v>97</v>
      </c>
      <c r="E164" t="s">
        <v>66</v>
      </c>
      <c r="F164" t="s">
        <v>44</v>
      </c>
      <c r="G164" t="b">
        <v>0</v>
      </c>
      <c r="H164" s="10">
        <v>3</v>
      </c>
      <c r="I164" s="10">
        <v>1</v>
      </c>
      <c r="J164" t="s">
        <v>25</v>
      </c>
      <c r="K164" s="9">
        <v>21281</v>
      </c>
      <c r="L164" t="s">
        <v>257</v>
      </c>
      <c r="M164" t="s">
        <v>27</v>
      </c>
      <c r="N164" s="7">
        <v>54</v>
      </c>
      <c r="O164" s="10">
        <v>1</v>
      </c>
      <c r="P164" s="7">
        <v>0</v>
      </c>
      <c r="Q164" t="s">
        <v>51</v>
      </c>
      <c r="R164" s="9">
        <v>85533</v>
      </c>
      <c r="S164" s="10">
        <v>8.51</v>
      </c>
      <c r="T164" s="9">
        <v>237205.08</v>
      </c>
      <c r="U164" s="6">
        <v>20</v>
      </c>
      <c r="V164" t="s">
        <v>29</v>
      </c>
    </row>
    <row r="165" spans="1:22" x14ac:dyDescent="0.25">
      <c r="A165" t="s">
        <v>303</v>
      </c>
      <c r="B165" s="1">
        <v>46005</v>
      </c>
      <c r="C165" s="7">
        <f>YEAR(Table2[[#This Row],[Date]])</f>
        <v>2025</v>
      </c>
      <c r="D165" t="s">
        <v>31</v>
      </c>
      <c r="E165" t="s">
        <v>83</v>
      </c>
      <c r="F165" t="s">
        <v>24</v>
      </c>
      <c r="G165" t="b">
        <v>0</v>
      </c>
      <c r="H165" s="10">
        <v>4</v>
      </c>
      <c r="I165" s="10">
        <v>4</v>
      </c>
      <c r="J165" t="s">
        <v>39</v>
      </c>
      <c r="K165" s="9">
        <v>8759</v>
      </c>
      <c r="L165" t="s">
        <v>178</v>
      </c>
      <c r="M165" t="s">
        <v>61</v>
      </c>
      <c r="N165" s="7">
        <v>29</v>
      </c>
      <c r="O165" s="10">
        <v>1</v>
      </c>
      <c r="P165" s="7">
        <v>1</v>
      </c>
      <c r="Q165" t="s">
        <v>46</v>
      </c>
      <c r="R165" s="9">
        <v>148161</v>
      </c>
      <c r="S165" s="10">
        <v>9.43</v>
      </c>
      <c r="T165" s="9">
        <v>232722.67</v>
      </c>
      <c r="U165" s="6">
        <v>43</v>
      </c>
      <c r="V165" t="s">
        <v>42</v>
      </c>
    </row>
    <row r="166" spans="1:22" x14ac:dyDescent="0.25">
      <c r="A166" t="s">
        <v>304</v>
      </c>
      <c r="B166" s="1">
        <v>45915</v>
      </c>
      <c r="C166" s="7">
        <f>YEAR(Table2[[#This Row],[Date]])</f>
        <v>2025</v>
      </c>
      <c r="D166" t="s">
        <v>77</v>
      </c>
      <c r="E166" t="s">
        <v>23</v>
      </c>
      <c r="F166" t="s">
        <v>38</v>
      </c>
      <c r="G166" t="b">
        <v>1</v>
      </c>
      <c r="H166" s="10">
        <v>5</v>
      </c>
      <c r="I166" s="10">
        <v>0</v>
      </c>
      <c r="J166" t="s">
        <v>25</v>
      </c>
      <c r="K166" s="9">
        <v>40475</v>
      </c>
      <c r="L166" t="s">
        <v>84</v>
      </c>
      <c r="M166" t="s">
        <v>34</v>
      </c>
      <c r="N166" s="7">
        <v>90</v>
      </c>
      <c r="O166" s="10">
        <v>0</v>
      </c>
      <c r="P166" s="7">
        <v>0</v>
      </c>
      <c r="Q166" t="s">
        <v>81</v>
      </c>
      <c r="R166" s="9">
        <v>29323</v>
      </c>
      <c r="S166" s="10">
        <v>1.82</v>
      </c>
      <c r="T166" s="9">
        <v>164363.18</v>
      </c>
      <c r="U166" s="6">
        <v>47</v>
      </c>
      <c r="V166" t="s">
        <v>42</v>
      </c>
    </row>
    <row r="167" spans="1:22" x14ac:dyDescent="0.25">
      <c r="A167" t="s">
        <v>305</v>
      </c>
      <c r="B167" s="1">
        <v>45699</v>
      </c>
      <c r="C167" s="7">
        <f>YEAR(Table2[[#This Row],[Date]])</f>
        <v>2025</v>
      </c>
      <c r="D167" t="s">
        <v>53</v>
      </c>
      <c r="E167" t="s">
        <v>72</v>
      </c>
      <c r="F167" t="s">
        <v>44</v>
      </c>
      <c r="G167" t="b">
        <v>0</v>
      </c>
      <c r="H167" s="10">
        <v>3</v>
      </c>
      <c r="I167" s="10">
        <v>3</v>
      </c>
      <c r="J167" t="s">
        <v>39</v>
      </c>
      <c r="K167" s="9">
        <v>35143</v>
      </c>
      <c r="L167" t="s">
        <v>306</v>
      </c>
      <c r="M167" t="s">
        <v>50</v>
      </c>
      <c r="N167" s="7">
        <v>43</v>
      </c>
      <c r="O167" s="10">
        <v>0</v>
      </c>
      <c r="P167" s="7">
        <v>2</v>
      </c>
      <c r="Q167" t="s">
        <v>46</v>
      </c>
      <c r="R167" s="9">
        <v>107201</v>
      </c>
      <c r="S167" s="10">
        <v>6.28</v>
      </c>
      <c r="T167" s="9">
        <v>226314.26</v>
      </c>
      <c r="U167" s="6">
        <v>64</v>
      </c>
      <c r="V167" t="s">
        <v>42</v>
      </c>
    </row>
    <row r="168" spans="1:22" x14ac:dyDescent="0.25">
      <c r="A168" t="s">
        <v>307</v>
      </c>
      <c r="B168" s="1">
        <v>45333</v>
      </c>
      <c r="C168" s="7">
        <f>YEAR(Table2[[#This Row],[Date]])</f>
        <v>2024</v>
      </c>
      <c r="D168" t="s">
        <v>97</v>
      </c>
      <c r="E168" t="s">
        <v>98</v>
      </c>
      <c r="F168" t="s">
        <v>44</v>
      </c>
      <c r="G168" t="b">
        <v>0</v>
      </c>
      <c r="H168" s="10">
        <v>1</v>
      </c>
      <c r="I168" s="10">
        <v>3</v>
      </c>
      <c r="J168" t="s">
        <v>54</v>
      </c>
      <c r="K168" s="9">
        <v>42955</v>
      </c>
      <c r="L168" t="s">
        <v>308</v>
      </c>
      <c r="M168" t="s">
        <v>50</v>
      </c>
      <c r="N168" s="7">
        <v>55</v>
      </c>
      <c r="O168" s="10">
        <v>0</v>
      </c>
      <c r="P168" s="7">
        <v>0</v>
      </c>
      <c r="Q168" t="s">
        <v>46</v>
      </c>
      <c r="R168" s="9">
        <v>67024</v>
      </c>
      <c r="S168" s="10">
        <v>7.25</v>
      </c>
      <c r="T168" s="9">
        <v>11201.78</v>
      </c>
      <c r="U168" s="6">
        <v>59</v>
      </c>
      <c r="V168" t="s">
        <v>42</v>
      </c>
    </row>
    <row r="169" spans="1:22" x14ac:dyDescent="0.25">
      <c r="A169" t="s">
        <v>309</v>
      </c>
      <c r="B169" s="1">
        <v>45885</v>
      </c>
      <c r="C169" s="7">
        <f>YEAR(Table2[[#This Row],[Date]])</f>
        <v>2025</v>
      </c>
      <c r="D169" t="s">
        <v>22</v>
      </c>
      <c r="E169" t="s">
        <v>66</v>
      </c>
      <c r="F169" t="s">
        <v>38</v>
      </c>
      <c r="G169" t="b">
        <v>0</v>
      </c>
      <c r="H169" s="10">
        <v>5</v>
      </c>
      <c r="I169" s="10">
        <v>4</v>
      </c>
      <c r="J169" t="s">
        <v>25</v>
      </c>
      <c r="K169" s="9">
        <v>35599</v>
      </c>
      <c r="L169" t="s">
        <v>310</v>
      </c>
      <c r="M169" t="s">
        <v>27</v>
      </c>
      <c r="N169" s="7">
        <v>72</v>
      </c>
      <c r="O169" s="10">
        <v>1</v>
      </c>
      <c r="P169" s="7">
        <v>1</v>
      </c>
      <c r="Q169" t="s">
        <v>41</v>
      </c>
      <c r="R169" s="9">
        <v>979</v>
      </c>
      <c r="S169" s="10">
        <v>5.27</v>
      </c>
      <c r="T169" s="9">
        <v>79758.179999999993</v>
      </c>
      <c r="U169" s="6">
        <v>35</v>
      </c>
      <c r="V169" t="s">
        <v>42</v>
      </c>
    </row>
    <row r="170" spans="1:22" x14ac:dyDescent="0.25">
      <c r="A170" t="s">
        <v>311</v>
      </c>
      <c r="B170" s="1">
        <v>45747</v>
      </c>
      <c r="C170" s="7">
        <f>YEAR(Table2[[#This Row],[Date]])</f>
        <v>2025</v>
      </c>
      <c r="D170" t="s">
        <v>31</v>
      </c>
      <c r="E170" t="s">
        <v>48</v>
      </c>
      <c r="F170" t="s">
        <v>44</v>
      </c>
      <c r="G170" t="b">
        <v>0</v>
      </c>
      <c r="H170" s="10">
        <v>5</v>
      </c>
      <c r="I170" s="10">
        <v>4</v>
      </c>
      <c r="J170" t="s">
        <v>25</v>
      </c>
      <c r="K170" s="9">
        <v>51871</v>
      </c>
      <c r="L170" t="s">
        <v>231</v>
      </c>
      <c r="M170" t="s">
        <v>27</v>
      </c>
      <c r="N170" s="7">
        <v>86</v>
      </c>
      <c r="O170" s="10">
        <v>2</v>
      </c>
      <c r="P170" s="7">
        <v>2</v>
      </c>
      <c r="Q170" t="s">
        <v>81</v>
      </c>
      <c r="R170" s="9">
        <v>60174</v>
      </c>
      <c r="S170" s="10">
        <v>5.68</v>
      </c>
      <c r="T170" s="9">
        <v>173022.56</v>
      </c>
      <c r="U170" s="6">
        <v>45</v>
      </c>
      <c r="V170" t="s">
        <v>42</v>
      </c>
    </row>
    <row r="171" spans="1:22" x14ac:dyDescent="0.25">
      <c r="A171" t="s">
        <v>312</v>
      </c>
      <c r="B171" s="1">
        <v>45466</v>
      </c>
      <c r="C171" s="7">
        <f>YEAR(Table2[[#This Row],[Date]])</f>
        <v>2024</v>
      </c>
      <c r="D171" t="s">
        <v>89</v>
      </c>
      <c r="E171" t="s">
        <v>72</v>
      </c>
      <c r="F171" t="s">
        <v>24</v>
      </c>
      <c r="G171" t="b">
        <v>1</v>
      </c>
      <c r="H171" s="10">
        <v>0</v>
      </c>
      <c r="I171" s="10">
        <v>3</v>
      </c>
      <c r="J171" t="s">
        <v>54</v>
      </c>
      <c r="K171" s="9">
        <v>11410</v>
      </c>
      <c r="L171" t="s">
        <v>202</v>
      </c>
      <c r="M171" t="s">
        <v>61</v>
      </c>
      <c r="N171" s="7">
        <v>93</v>
      </c>
      <c r="O171" s="10">
        <v>2</v>
      </c>
      <c r="P171" s="7">
        <v>0</v>
      </c>
      <c r="Q171" t="s">
        <v>51</v>
      </c>
      <c r="R171" s="9">
        <v>65926</v>
      </c>
      <c r="S171" s="10">
        <v>5.48</v>
      </c>
      <c r="T171" s="9">
        <v>106190.81</v>
      </c>
      <c r="U171" s="6">
        <v>27</v>
      </c>
      <c r="V171" t="s">
        <v>29</v>
      </c>
    </row>
    <row r="172" spans="1:22" x14ac:dyDescent="0.25">
      <c r="A172" t="s">
        <v>313</v>
      </c>
      <c r="B172" s="1">
        <v>45444</v>
      </c>
      <c r="C172" s="7">
        <f>YEAR(Table2[[#This Row],[Date]])</f>
        <v>2024</v>
      </c>
      <c r="D172" t="s">
        <v>53</v>
      </c>
      <c r="E172" t="s">
        <v>98</v>
      </c>
      <c r="F172" t="s">
        <v>24</v>
      </c>
      <c r="G172" t="b">
        <v>1</v>
      </c>
      <c r="H172" s="10">
        <v>0</v>
      </c>
      <c r="I172" s="10">
        <v>1</v>
      </c>
      <c r="J172" t="s">
        <v>54</v>
      </c>
      <c r="K172" s="9">
        <v>31696</v>
      </c>
      <c r="L172" t="s">
        <v>293</v>
      </c>
      <c r="M172" t="s">
        <v>50</v>
      </c>
      <c r="N172" s="7">
        <v>79</v>
      </c>
      <c r="O172" s="10">
        <v>0</v>
      </c>
      <c r="P172" s="7">
        <v>1</v>
      </c>
      <c r="Q172" t="s">
        <v>51</v>
      </c>
      <c r="R172" s="9">
        <v>78777</v>
      </c>
      <c r="S172" s="10">
        <v>9.4499999999999993</v>
      </c>
      <c r="T172" s="9">
        <v>68391.53</v>
      </c>
      <c r="U172" s="6">
        <v>21</v>
      </c>
      <c r="V172" t="s">
        <v>29</v>
      </c>
    </row>
    <row r="173" spans="1:22" x14ac:dyDescent="0.25">
      <c r="A173" t="s">
        <v>314</v>
      </c>
      <c r="B173" s="1">
        <v>46000</v>
      </c>
      <c r="C173" s="7">
        <f>YEAR(Table2[[#This Row],[Date]])</f>
        <v>2025</v>
      </c>
      <c r="D173" t="s">
        <v>97</v>
      </c>
      <c r="E173" t="s">
        <v>48</v>
      </c>
      <c r="F173" t="s">
        <v>38</v>
      </c>
      <c r="G173" t="b">
        <v>1</v>
      </c>
      <c r="H173" s="10">
        <v>3</v>
      </c>
      <c r="I173" s="10">
        <v>4</v>
      </c>
      <c r="J173" t="s">
        <v>54</v>
      </c>
      <c r="K173" s="9">
        <v>17112</v>
      </c>
      <c r="L173" t="s">
        <v>118</v>
      </c>
      <c r="M173" t="s">
        <v>50</v>
      </c>
      <c r="N173" s="7">
        <v>85</v>
      </c>
      <c r="O173" s="10">
        <v>0</v>
      </c>
      <c r="P173" s="7">
        <v>0</v>
      </c>
      <c r="Q173" t="s">
        <v>62</v>
      </c>
      <c r="R173" s="9">
        <v>22913</v>
      </c>
      <c r="S173" s="10">
        <v>2.23</v>
      </c>
      <c r="T173" s="9">
        <v>114484.75</v>
      </c>
      <c r="U173" s="6">
        <v>38</v>
      </c>
      <c r="V173" t="s">
        <v>29</v>
      </c>
    </row>
    <row r="174" spans="1:22" x14ac:dyDescent="0.25">
      <c r="A174" t="s">
        <v>315</v>
      </c>
      <c r="B174" s="1">
        <v>45717</v>
      </c>
      <c r="C174" s="7">
        <f>YEAR(Table2[[#This Row],[Date]])</f>
        <v>2025</v>
      </c>
      <c r="D174" t="s">
        <v>97</v>
      </c>
      <c r="E174" t="s">
        <v>23</v>
      </c>
      <c r="F174" t="s">
        <v>44</v>
      </c>
      <c r="G174" t="b">
        <v>0</v>
      </c>
      <c r="H174" s="10">
        <v>0</v>
      </c>
      <c r="I174" s="10">
        <v>3</v>
      </c>
      <c r="J174" t="s">
        <v>54</v>
      </c>
      <c r="K174" s="9">
        <v>33929</v>
      </c>
      <c r="L174" t="s">
        <v>93</v>
      </c>
      <c r="M174" t="s">
        <v>27</v>
      </c>
      <c r="N174" s="7">
        <v>15</v>
      </c>
      <c r="O174" s="10">
        <v>0</v>
      </c>
      <c r="P174" s="7">
        <v>1</v>
      </c>
      <c r="Q174" t="s">
        <v>46</v>
      </c>
      <c r="R174" s="9">
        <v>118934</v>
      </c>
      <c r="S174" s="10">
        <v>3.26</v>
      </c>
      <c r="T174" s="9">
        <v>216157.65</v>
      </c>
      <c r="U174" s="6">
        <v>43</v>
      </c>
      <c r="V174" t="s">
        <v>29</v>
      </c>
    </row>
    <row r="175" spans="1:22" x14ac:dyDescent="0.25">
      <c r="A175" t="s">
        <v>317</v>
      </c>
      <c r="B175" s="1">
        <v>45647</v>
      </c>
      <c r="C175" s="7">
        <f>YEAR(Table2[[#This Row],[Date]])</f>
        <v>2024</v>
      </c>
      <c r="D175" t="s">
        <v>36</v>
      </c>
      <c r="E175" t="s">
        <v>66</v>
      </c>
      <c r="F175" t="s">
        <v>44</v>
      </c>
      <c r="G175" t="b">
        <v>1</v>
      </c>
      <c r="H175" s="10">
        <v>5</v>
      </c>
      <c r="I175" s="10">
        <v>3</v>
      </c>
      <c r="J175" t="s">
        <v>25</v>
      </c>
      <c r="K175" s="9">
        <v>19234</v>
      </c>
      <c r="L175" t="s">
        <v>261</v>
      </c>
      <c r="M175" t="s">
        <v>34</v>
      </c>
      <c r="N175" s="7">
        <v>24</v>
      </c>
      <c r="O175" s="10">
        <v>0</v>
      </c>
      <c r="P175" s="7">
        <v>1</v>
      </c>
      <c r="Q175" t="s">
        <v>87</v>
      </c>
      <c r="R175" s="9">
        <v>108965</v>
      </c>
      <c r="S175" s="10">
        <v>5.46</v>
      </c>
      <c r="T175" s="9">
        <v>202294</v>
      </c>
      <c r="U175" s="6">
        <v>61</v>
      </c>
      <c r="V175" t="s">
        <v>42</v>
      </c>
    </row>
    <row r="176" spans="1:22" x14ac:dyDescent="0.25">
      <c r="A176" t="s">
        <v>318</v>
      </c>
      <c r="B176" s="1">
        <v>45366</v>
      </c>
      <c r="C176" s="7">
        <f>YEAR(Table2[[#This Row],[Date]])</f>
        <v>2024</v>
      </c>
      <c r="D176" t="s">
        <v>53</v>
      </c>
      <c r="E176" t="s">
        <v>72</v>
      </c>
      <c r="F176" t="s">
        <v>38</v>
      </c>
      <c r="G176" t="b">
        <v>0</v>
      </c>
      <c r="H176" s="10">
        <v>1</v>
      </c>
      <c r="I176" s="10">
        <v>3</v>
      </c>
      <c r="J176" t="s">
        <v>54</v>
      </c>
      <c r="K176" s="9">
        <v>48220</v>
      </c>
      <c r="L176" t="s">
        <v>49</v>
      </c>
      <c r="M176" t="s">
        <v>50</v>
      </c>
      <c r="N176" s="7">
        <v>56</v>
      </c>
      <c r="O176" s="10">
        <v>1</v>
      </c>
      <c r="P176" s="7">
        <v>0</v>
      </c>
      <c r="Q176" t="s">
        <v>46</v>
      </c>
      <c r="R176" s="9">
        <v>111539</v>
      </c>
      <c r="S176" s="10">
        <v>2.23</v>
      </c>
      <c r="T176" s="9">
        <v>103814.64</v>
      </c>
      <c r="U176" s="6">
        <v>33</v>
      </c>
      <c r="V176" t="s">
        <v>29</v>
      </c>
    </row>
    <row r="177" spans="1:22" x14ac:dyDescent="0.25">
      <c r="A177" t="s">
        <v>319</v>
      </c>
      <c r="B177" s="1">
        <v>45743</v>
      </c>
      <c r="C177" s="7">
        <f>YEAR(Table2[[#This Row],[Date]])</f>
        <v>2025</v>
      </c>
      <c r="D177" t="s">
        <v>97</v>
      </c>
      <c r="E177" t="s">
        <v>72</v>
      </c>
      <c r="F177" t="s">
        <v>38</v>
      </c>
      <c r="G177" t="b">
        <v>1</v>
      </c>
      <c r="H177" s="10">
        <v>5</v>
      </c>
      <c r="I177" s="10">
        <v>3</v>
      </c>
      <c r="J177" t="s">
        <v>25</v>
      </c>
      <c r="K177" s="9">
        <v>36397</v>
      </c>
      <c r="L177" t="s">
        <v>316</v>
      </c>
      <c r="M177" t="s">
        <v>27</v>
      </c>
      <c r="N177" s="7">
        <v>52</v>
      </c>
      <c r="O177" s="10">
        <v>0</v>
      </c>
      <c r="P177" s="7">
        <v>2</v>
      </c>
      <c r="Q177" t="s">
        <v>81</v>
      </c>
      <c r="R177" s="9">
        <v>73600</v>
      </c>
      <c r="S177" s="10">
        <v>4.6399999999999997</v>
      </c>
      <c r="T177" s="9">
        <v>104660.28</v>
      </c>
      <c r="U177" s="6">
        <v>36</v>
      </c>
      <c r="V177" t="s">
        <v>42</v>
      </c>
    </row>
    <row r="178" spans="1:22" x14ac:dyDescent="0.25">
      <c r="A178" t="s">
        <v>320</v>
      </c>
      <c r="B178" s="1">
        <v>45875</v>
      </c>
      <c r="C178" s="7">
        <f>YEAR(Table2[[#This Row],[Date]])</f>
        <v>2025</v>
      </c>
      <c r="D178" t="s">
        <v>53</v>
      </c>
      <c r="E178" t="s">
        <v>72</v>
      </c>
      <c r="F178" t="s">
        <v>24</v>
      </c>
      <c r="G178" t="b">
        <v>0</v>
      </c>
      <c r="H178" s="10">
        <v>5</v>
      </c>
      <c r="I178" s="10">
        <v>1</v>
      </c>
      <c r="J178" t="s">
        <v>25</v>
      </c>
      <c r="K178" s="9">
        <v>35817</v>
      </c>
      <c r="L178" t="s">
        <v>198</v>
      </c>
      <c r="M178" t="s">
        <v>34</v>
      </c>
      <c r="N178" s="7">
        <v>87</v>
      </c>
      <c r="O178" s="10">
        <v>0</v>
      </c>
      <c r="P178" s="7">
        <v>0</v>
      </c>
      <c r="Q178" t="s">
        <v>81</v>
      </c>
      <c r="R178" s="9">
        <v>49646</v>
      </c>
      <c r="S178" s="10">
        <v>2.31</v>
      </c>
      <c r="T178" s="9">
        <v>193887.47</v>
      </c>
      <c r="U178" s="6">
        <v>35</v>
      </c>
      <c r="V178" t="s">
        <v>42</v>
      </c>
    </row>
    <row r="179" spans="1:22" x14ac:dyDescent="0.25">
      <c r="A179" t="s">
        <v>321</v>
      </c>
      <c r="B179" s="1">
        <v>45958</v>
      </c>
      <c r="C179" s="7">
        <f>YEAR(Table2[[#This Row],[Date]])</f>
        <v>2025</v>
      </c>
      <c r="D179" t="s">
        <v>53</v>
      </c>
      <c r="E179" t="s">
        <v>23</v>
      </c>
      <c r="F179" t="s">
        <v>24</v>
      </c>
      <c r="G179" t="b">
        <v>0</v>
      </c>
      <c r="H179" s="10">
        <v>4</v>
      </c>
      <c r="I179" s="10">
        <v>0</v>
      </c>
      <c r="J179" t="s">
        <v>25</v>
      </c>
      <c r="K179" s="9">
        <v>11419</v>
      </c>
      <c r="L179" t="s">
        <v>310</v>
      </c>
      <c r="M179" t="s">
        <v>34</v>
      </c>
      <c r="N179" s="7">
        <v>43</v>
      </c>
      <c r="O179" s="10">
        <v>0</v>
      </c>
      <c r="P179" s="7">
        <v>1</v>
      </c>
      <c r="Q179" t="s">
        <v>46</v>
      </c>
      <c r="R179" s="9">
        <v>70818</v>
      </c>
      <c r="S179" s="10">
        <v>5.28</v>
      </c>
      <c r="T179" s="9">
        <v>156995.35999999999</v>
      </c>
      <c r="U179" s="6">
        <v>50</v>
      </c>
      <c r="V179" t="s">
        <v>29</v>
      </c>
    </row>
    <row r="180" spans="1:22" x14ac:dyDescent="0.25">
      <c r="A180" t="s">
        <v>323</v>
      </c>
      <c r="B180" s="1">
        <v>45790</v>
      </c>
      <c r="C180" s="7">
        <f>YEAR(Table2[[#This Row],[Date]])</f>
        <v>2025</v>
      </c>
      <c r="D180" t="s">
        <v>97</v>
      </c>
      <c r="E180" t="s">
        <v>98</v>
      </c>
      <c r="F180" t="s">
        <v>24</v>
      </c>
      <c r="G180" t="b">
        <v>1</v>
      </c>
      <c r="H180" s="10">
        <v>0</v>
      </c>
      <c r="I180" s="10">
        <v>2</v>
      </c>
      <c r="J180" t="s">
        <v>54</v>
      </c>
      <c r="K180" s="9">
        <v>52431</v>
      </c>
      <c r="L180" t="s">
        <v>306</v>
      </c>
      <c r="M180" t="s">
        <v>50</v>
      </c>
      <c r="N180" s="7">
        <v>14</v>
      </c>
      <c r="O180" s="10">
        <v>0</v>
      </c>
      <c r="P180" s="7">
        <v>0</v>
      </c>
      <c r="Q180" t="s">
        <v>87</v>
      </c>
      <c r="R180" s="9">
        <v>3986</v>
      </c>
      <c r="S180" s="10">
        <v>2.76</v>
      </c>
      <c r="T180" s="9">
        <v>183600.97</v>
      </c>
      <c r="U180" s="6">
        <v>33</v>
      </c>
      <c r="V180" t="s">
        <v>42</v>
      </c>
    </row>
    <row r="181" spans="1:22" x14ac:dyDescent="0.25">
      <c r="A181" t="s">
        <v>324</v>
      </c>
      <c r="B181" s="1">
        <v>45304</v>
      </c>
      <c r="C181" s="7">
        <f>YEAR(Table2[[#This Row],[Date]])</f>
        <v>2024</v>
      </c>
      <c r="D181" t="s">
        <v>69</v>
      </c>
      <c r="E181" t="s">
        <v>48</v>
      </c>
      <c r="F181" t="s">
        <v>24</v>
      </c>
      <c r="G181" t="b">
        <v>1</v>
      </c>
      <c r="H181" s="10">
        <v>1</v>
      </c>
      <c r="I181" s="10">
        <v>4</v>
      </c>
      <c r="J181" t="s">
        <v>54</v>
      </c>
      <c r="K181" s="9">
        <v>6662</v>
      </c>
      <c r="L181" t="s">
        <v>49</v>
      </c>
      <c r="M181" t="s">
        <v>61</v>
      </c>
      <c r="N181" s="7">
        <v>23</v>
      </c>
      <c r="O181" s="10">
        <v>1</v>
      </c>
      <c r="P181" s="7">
        <v>2</v>
      </c>
      <c r="Q181" t="s">
        <v>51</v>
      </c>
      <c r="R181" s="9">
        <v>38454</v>
      </c>
      <c r="S181" s="10">
        <v>2.95</v>
      </c>
      <c r="T181" s="9">
        <v>197058.71</v>
      </c>
      <c r="U181" s="6">
        <v>32</v>
      </c>
      <c r="V181" t="s">
        <v>42</v>
      </c>
    </row>
    <row r="182" spans="1:22" x14ac:dyDescent="0.25">
      <c r="A182" t="s">
        <v>325</v>
      </c>
      <c r="B182" s="1">
        <v>45587</v>
      </c>
      <c r="C182" s="7">
        <f>YEAR(Table2[[#This Row],[Date]])</f>
        <v>2024</v>
      </c>
      <c r="D182" t="s">
        <v>36</v>
      </c>
      <c r="E182" t="s">
        <v>48</v>
      </c>
      <c r="F182" t="s">
        <v>24</v>
      </c>
      <c r="G182" t="b">
        <v>0</v>
      </c>
      <c r="H182" s="10">
        <v>0</v>
      </c>
      <c r="I182" s="10">
        <v>0</v>
      </c>
      <c r="J182" t="s">
        <v>39</v>
      </c>
      <c r="K182" s="9">
        <v>46856</v>
      </c>
      <c r="L182" t="s">
        <v>310</v>
      </c>
      <c r="M182" t="s">
        <v>34</v>
      </c>
      <c r="N182" s="7">
        <v>68</v>
      </c>
      <c r="O182" s="10">
        <v>0</v>
      </c>
      <c r="P182" s="7">
        <v>1</v>
      </c>
      <c r="Q182" t="s">
        <v>87</v>
      </c>
      <c r="R182" s="9">
        <v>18368</v>
      </c>
      <c r="S182" s="10">
        <v>6.68</v>
      </c>
      <c r="T182" s="9">
        <v>166711.63</v>
      </c>
      <c r="U182" s="6">
        <v>26</v>
      </c>
      <c r="V182" t="s">
        <v>42</v>
      </c>
    </row>
    <row r="183" spans="1:22" x14ac:dyDescent="0.25">
      <c r="A183" t="s">
        <v>326</v>
      </c>
      <c r="B183" s="1">
        <v>45659</v>
      </c>
      <c r="C183" s="7">
        <f>YEAR(Table2[[#This Row],[Date]])</f>
        <v>2025</v>
      </c>
      <c r="D183" t="s">
        <v>53</v>
      </c>
      <c r="E183" t="s">
        <v>98</v>
      </c>
      <c r="F183" t="s">
        <v>44</v>
      </c>
      <c r="G183" t="b">
        <v>0</v>
      </c>
      <c r="H183" s="10">
        <v>0</v>
      </c>
      <c r="I183" s="10">
        <v>4</v>
      </c>
      <c r="J183" t="s">
        <v>54</v>
      </c>
      <c r="K183" s="9">
        <v>30121</v>
      </c>
      <c r="L183" t="s">
        <v>231</v>
      </c>
      <c r="M183" t="s">
        <v>27</v>
      </c>
      <c r="N183" s="7">
        <v>41</v>
      </c>
      <c r="O183" s="10">
        <v>0</v>
      </c>
      <c r="P183" s="7">
        <v>2</v>
      </c>
      <c r="Q183" t="s">
        <v>87</v>
      </c>
      <c r="R183" s="9">
        <v>2540</v>
      </c>
      <c r="S183" s="10">
        <v>8.6199999999999992</v>
      </c>
      <c r="T183" s="9">
        <v>217593.71</v>
      </c>
      <c r="U183" s="6">
        <v>56</v>
      </c>
      <c r="V183" t="s">
        <v>29</v>
      </c>
    </row>
    <row r="184" spans="1:22" x14ac:dyDescent="0.25">
      <c r="A184" t="s">
        <v>328</v>
      </c>
      <c r="B184" s="1">
        <v>45586</v>
      </c>
      <c r="C184" s="7">
        <f>YEAR(Table2[[#This Row],[Date]])</f>
        <v>2024</v>
      </c>
      <c r="D184" t="s">
        <v>22</v>
      </c>
      <c r="E184" t="s">
        <v>66</v>
      </c>
      <c r="F184" t="s">
        <v>38</v>
      </c>
      <c r="G184" t="b">
        <v>1</v>
      </c>
      <c r="H184" s="10">
        <v>2</v>
      </c>
      <c r="I184" s="10">
        <v>3</v>
      </c>
      <c r="J184" t="s">
        <v>54</v>
      </c>
      <c r="K184" s="9">
        <v>38887</v>
      </c>
      <c r="L184" t="s">
        <v>208</v>
      </c>
      <c r="M184" t="s">
        <v>34</v>
      </c>
      <c r="N184" s="7">
        <v>60</v>
      </c>
      <c r="O184" s="10">
        <v>0</v>
      </c>
      <c r="P184" s="7">
        <v>0</v>
      </c>
      <c r="Q184" t="s">
        <v>41</v>
      </c>
      <c r="R184" s="9">
        <v>59235</v>
      </c>
      <c r="S184" s="10">
        <v>0.87</v>
      </c>
      <c r="T184" s="9">
        <v>16782.259999999998</v>
      </c>
      <c r="U184" s="6">
        <v>43</v>
      </c>
      <c r="V184" t="s">
        <v>42</v>
      </c>
    </row>
    <row r="185" spans="1:22" x14ac:dyDescent="0.25">
      <c r="A185" t="s">
        <v>329</v>
      </c>
      <c r="B185" s="1">
        <v>45401</v>
      </c>
      <c r="C185" s="7">
        <f>YEAR(Table2[[#This Row],[Date]])</f>
        <v>2024</v>
      </c>
      <c r="D185" t="s">
        <v>69</v>
      </c>
      <c r="E185" t="s">
        <v>48</v>
      </c>
      <c r="F185" t="s">
        <v>44</v>
      </c>
      <c r="G185" t="b">
        <v>1</v>
      </c>
      <c r="H185" s="10">
        <v>3</v>
      </c>
      <c r="I185" s="10">
        <v>3</v>
      </c>
      <c r="J185" t="s">
        <v>39</v>
      </c>
      <c r="K185" s="9">
        <v>49490</v>
      </c>
      <c r="L185" t="s">
        <v>253</v>
      </c>
      <c r="M185" t="s">
        <v>34</v>
      </c>
      <c r="N185" s="7">
        <v>27</v>
      </c>
      <c r="O185" s="10">
        <v>0</v>
      </c>
      <c r="P185" s="7">
        <v>0</v>
      </c>
      <c r="Q185" t="s">
        <v>87</v>
      </c>
      <c r="R185" s="9">
        <v>108030</v>
      </c>
      <c r="S185" s="10">
        <v>5.0199999999999996</v>
      </c>
      <c r="T185" s="9">
        <v>240476.78</v>
      </c>
      <c r="U185" s="6">
        <v>28</v>
      </c>
      <c r="V185" t="s">
        <v>29</v>
      </c>
    </row>
    <row r="186" spans="1:22" x14ac:dyDescent="0.25">
      <c r="A186" t="s">
        <v>330</v>
      </c>
      <c r="B186" s="1">
        <v>45582</v>
      </c>
      <c r="C186" s="7">
        <f>YEAR(Table2[[#This Row],[Date]])</f>
        <v>2024</v>
      </c>
      <c r="D186" t="s">
        <v>22</v>
      </c>
      <c r="E186" t="s">
        <v>83</v>
      </c>
      <c r="F186" t="s">
        <v>38</v>
      </c>
      <c r="G186" t="b">
        <v>0</v>
      </c>
      <c r="H186" s="10">
        <v>2</v>
      </c>
      <c r="I186" s="10">
        <v>4</v>
      </c>
      <c r="J186" t="s">
        <v>54</v>
      </c>
      <c r="K186" s="9">
        <v>31835</v>
      </c>
      <c r="L186" t="s">
        <v>331</v>
      </c>
      <c r="M186" t="s">
        <v>61</v>
      </c>
      <c r="N186" s="7">
        <v>32</v>
      </c>
      <c r="O186" s="10">
        <v>0</v>
      </c>
      <c r="P186" s="7">
        <v>0</v>
      </c>
      <c r="Q186" t="s">
        <v>87</v>
      </c>
      <c r="R186" s="9">
        <v>141955</v>
      </c>
      <c r="S186" s="10">
        <v>1.22</v>
      </c>
      <c r="T186" s="9">
        <v>121797.4</v>
      </c>
      <c r="U186" s="6">
        <v>35</v>
      </c>
      <c r="V186" t="s">
        <v>42</v>
      </c>
    </row>
    <row r="187" spans="1:22" x14ac:dyDescent="0.25">
      <c r="A187" t="s">
        <v>332</v>
      </c>
      <c r="B187" s="1">
        <v>45408</v>
      </c>
      <c r="C187" s="7">
        <f>YEAR(Table2[[#This Row],[Date]])</f>
        <v>2024</v>
      </c>
      <c r="D187" t="s">
        <v>77</v>
      </c>
      <c r="E187" t="s">
        <v>37</v>
      </c>
      <c r="F187" t="s">
        <v>24</v>
      </c>
      <c r="G187" t="b">
        <v>1</v>
      </c>
      <c r="H187" s="10">
        <v>2</v>
      </c>
      <c r="I187" s="10">
        <v>1</v>
      </c>
      <c r="J187" t="s">
        <v>25</v>
      </c>
      <c r="K187" s="9">
        <v>51165</v>
      </c>
      <c r="L187" t="s">
        <v>157</v>
      </c>
      <c r="M187" t="s">
        <v>34</v>
      </c>
      <c r="N187" s="7">
        <v>16</v>
      </c>
      <c r="O187" s="10">
        <v>0</v>
      </c>
      <c r="P187" s="7">
        <v>0</v>
      </c>
      <c r="Q187" t="s">
        <v>81</v>
      </c>
      <c r="R187" s="9">
        <v>143319</v>
      </c>
      <c r="S187" s="10">
        <v>7.05</v>
      </c>
      <c r="T187" s="9">
        <v>144485.62</v>
      </c>
      <c r="U187" s="6">
        <v>34</v>
      </c>
      <c r="V187" t="s">
        <v>42</v>
      </c>
    </row>
    <row r="188" spans="1:22" x14ac:dyDescent="0.25">
      <c r="A188" t="s">
        <v>333</v>
      </c>
      <c r="B188" s="1">
        <v>45469</v>
      </c>
      <c r="C188" s="7">
        <f>YEAR(Table2[[#This Row],[Date]])</f>
        <v>2024</v>
      </c>
      <c r="D188" t="s">
        <v>22</v>
      </c>
      <c r="E188" t="s">
        <v>72</v>
      </c>
      <c r="F188" t="s">
        <v>24</v>
      </c>
      <c r="G188" t="b">
        <v>1</v>
      </c>
      <c r="H188" s="10">
        <v>4</v>
      </c>
      <c r="I188" s="10">
        <v>4</v>
      </c>
      <c r="J188" t="s">
        <v>39</v>
      </c>
      <c r="K188" s="9">
        <v>35055</v>
      </c>
      <c r="L188" t="s">
        <v>334</v>
      </c>
      <c r="M188" t="s">
        <v>61</v>
      </c>
      <c r="N188" s="7">
        <v>45</v>
      </c>
      <c r="O188" s="10">
        <v>0</v>
      </c>
      <c r="P188" s="7">
        <v>1</v>
      </c>
      <c r="Q188" t="s">
        <v>81</v>
      </c>
      <c r="R188" s="9">
        <v>45272</v>
      </c>
      <c r="S188" s="10">
        <v>1.8</v>
      </c>
      <c r="T188" s="9">
        <v>187031.39</v>
      </c>
      <c r="U188" s="6">
        <v>47</v>
      </c>
      <c r="V188" t="s">
        <v>42</v>
      </c>
    </row>
    <row r="189" spans="1:22" x14ac:dyDescent="0.25">
      <c r="A189" t="s">
        <v>335</v>
      </c>
      <c r="B189" s="1">
        <v>45616</v>
      </c>
      <c r="C189" s="7">
        <f>YEAR(Table2[[#This Row],[Date]])</f>
        <v>2024</v>
      </c>
      <c r="D189" t="s">
        <v>22</v>
      </c>
      <c r="E189" t="s">
        <v>32</v>
      </c>
      <c r="F189" t="s">
        <v>44</v>
      </c>
      <c r="G189" t="b">
        <v>0</v>
      </c>
      <c r="H189" s="10">
        <v>3</v>
      </c>
      <c r="I189" s="10">
        <v>4</v>
      </c>
      <c r="J189" t="s">
        <v>54</v>
      </c>
      <c r="K189" s="9">
        <v>49409</v>
      </c>
      <c r="L189" t="s">
        <v>251</v>
      </c>
      <c r="M189" t="s">
        <v>61</v>
      </c>
      <c r="N189" s="7">
        <v>66</v>
      </c>
      <c r="O189" s="10">
        <v>0</v>
      </c>
      <c r="P189" s="7">
        <v>0</v>
      </c>
      <c r="Q189" t="s">
        <v>51</v>
      </c>
      <c r="R189" s="9">
        <v>36879</v>
      </c>
      <c r="S189" s="10">
        <v>2.5099999999999998</v>
      </c>
      <c r="T189" s="9">
        <v>243168.06</v>
      </c>
      <c r="U189" s="6">
        <v>29</v>
      </c>
      <c r="V189" t="s">
        <v>42</v>
      </c>
    </row>
    <row r="190" spans="1:22" x14ac:dyDescent="0.25">
      <c r="A190" t="s">
        <v>336</v>
      </c>
      <c r="B190" s="1">
        <v>45849</v>
      </c>
      <c r="C190" s="7">
        <f>YEAR(Table2[[#This Row],[Date]])</f>
        <v>2025</v>
      </c>
      <c r="D190" t="s">
        <v>36</v>
      </c>
      <c r="E190" t="s">
        <v>83</v>
      </c>
      <c r="F190" t="s">
        <v>24</v>
      </c>
      <c r="G190" t="b">
        <v>0</v>
      </c>
      <c r="H190" s="10">
        <v>5</v>
      </c>
      <c r="I190" s="10">
        <v>3</v>
      </c>
      <c r="J190" t="s">
        <v>25</v>
      </c>
      <c r="K190" s="9">
        <v>17675</v>
      </c>
      <c r="L190" t="s">
        <v>291</v>
      </c>
      <c r="M190" t="s">
        <v>61</v>
      </c>
      <c r="N190" s="7">
        <v>45</v>
      </c>
      <c r="O190" s="10">
        <v>0</v>
      </c>
      <c r="P190" s="7">
        <v>0</v>
      </c>
      <c r="Q190" t="s">
        <v>46</v>
      </c>
      <c r="R190" s="9">
        <v>113226</v>
      </c>
      <c r="S190" s="10">
        <v>3.38</v>
      </c>
      <c r="T190" s="9">
        <v>118987.7</v>
      </c>
      <c r="U190" s="6">
        <v>25</v>
      </c>
      <c r="V190" t="s">
        <v>29</v>
      </c>
    </row>
    <row r="191" spans="1:22" x14ac:dyDescent="0.25">
      <c r="A191" t="s">
        <v>337</v>
      </c>
      <c r="B191" s="1">
        <v>45437</v>
      </c>
      <c r="C191" s="7">
        <f>YEAR(Table2[[#This Row],[Date]])</f>
        <v>2024</v>
      </c>
      <c r="D191" t="s">
        <v>97</v>
      </c>
      <c r="E191" t="s">
        <v>66</v>
      </c>
      <c r="F191" t="s">
        <v>38</v>
      </c>
      <c r="G191" t="b">
        <v>1</v>
      </c>
      <c r="H191" s="10">
        <v>0</v>
      </c>
      <c r="I191" s="10">
        <v>1</v>
      </c>
      <c r="J191" t="s">
        <v>54</v>
      </c>
      <c r="K191" s="9">
        <v>20127</v>
      </c>
      <c r="L191" t="s">
        <v>195</v>
      </c>
      <c r="M191" t="s">
        <v>34</v>
      </c>
      <c r="N191" s="7">
        <v>23</v>
      </c>
      <c r="O191" s="10">
        <v>0</v>
      </c>
      <c r="P191" s="7">
        <v>1</v>
      </c>
      <c r="Q191" t="s">
        <v>51</v>
      </c>
      <c r="R191" s="9">
        <v>94768</v>
      </c>
      <c r="S191" s="10">
        <v>7.8</v>
      </c>
      <c r="T191" s="9">
        <v>135453.16</v>
      </c>
      <c r="U191" s="6">
        <v>48</v>
      </c>
      <c r="V191" t="s">
        <v>42</v>
      </c>
    </row>
    <row r="192" spans="1:22" x14ac:dyDescent="0.25">
      <c r="A192" t="s">
        <v>338</v>
      </c>
      <c r="B192" s="1">
        <v>45707</v>
      </c>
      <c r="C192" s="7">
        <f>YEAR(Table2[[#This Row],[Date]])</f>
        <v>2025</v>
      </c>
      <c r="D192" t="s">
        <v>97</v>
      </c>
      <c r="E192" t="s">
        <v>83</v>
      </c>
      <c r="F192" t="s">
        <v>24</v>
      </c>
      <c r="G192" t="b">
        <v>1</v>
      </c>
      <c r="H192" s="10">
        <v>0</v>
      </c>
      <c r="I192" s="10">
        <v>4</v>
      </c>
      <c r="J192" t="s">
        <v>54</v>
      </c>
      <c r="K192" s="9">
        <v>28197</v>
      </c>
      <c r="L192" t="s">
        <v>285</v>
      </c>
      <c r="M192" t="s">
        <v>61</v>
      </c>
      <c r="N192" s="7">
        <v>30</v>
      </c>
      <c r="O192" s="10">
        <v>1</v>
      </c>
      <c r="P192" s="7">
        <v>0</v>
      </c>
      <c r="Q192" t="s">
        <v>28</v>
      </c>
      <c r="R192" s="9">
        <v>137653</v>
      </c>
      <c r="S192" s="10">
        <v>1.32</v>
      </c>
      <c r="T192" s="9">
        <v>241764.98</v>
      </c>
      <c r="U192" s="6">
        <v>22</v>
      </c>
      <c r="V192" t="s">
        <v>29</v>
      </c>
    </row>
    <row r="193" spans="1:22" x14ac:dyDescent="0.25">
      <c r="A193" t="s">
        <v>339</v>
      </c>
      <c r="B193" s="1">
        <v>45708</v>
      </c>
      <c r="C193" s="7">
        <f>YEAR(Table2[[#This Row],[Date]])</f>
        <v>2025</v>
      </c>
      <c r="D193" t="s">
        <v>31</v>
      </c>
      <c r="E193" t="s">
        <v>37</v>
      </c>
      <c r="F193" t="s">
        <v>38</v>
      </c>
      <c r="G193" t="b">
        <v>0</v>
      </c>
      <c r="H193" s="10">
        <v>1</v>
      </c>
      <c r="I193" s="10">
        <v>3</v>
      </c>
      <c r="J193" t="s">
        <v>54</v>
      </c>
      <c r="K193" s="9">
        <v>40030</v>
      </c>
      <c r="L193" t="s">
        <v>334</v>
      </c>
      <c r="M193" t="s">
        <v>34</v>
      </c>
      <c r="N193" s="7">
        <v>46</v>
      </c>
      <c r="O193" s="10">
        <v>0</v>
      </c>
      <c r="P193" s="7">
        <v>0</v>
      </c>
      <c r="Q193" t="s">
        <v>46</v>
      </c>
      <c r="R193" s="9">
        <v>146910</v>
      </c>
      <c r="S193" s="10">
        <v>6.87</v>
      </c>
      <c r="T193" s="9">
        <v>8277.1200000000008</v>
      </c>
      <c r="U193" s="6">
        <v>56</v>
      </c>
      <c r="V193" t="s">
        <v>42</v>
      </c>
    </row>
    <row r="194" spans="1:22" x14ac:dyDescent="0.25">
      <c r="A194" t="s">
        <v>340</v>
      </c>
      <c r="B194" s="1">
        <v>45464</v>
      </c>
      <c r="C194" s="7">
        <f>YEAR(Table2[[#This Row],[Date]])</f>
        <v>2024</v>
      </c>
      <c r="D194" t="s">
        <v>77</v>
      </c>
      <c r="E194" t="s">
        <v>23</v>
      </c>
      <c r="F194" t="s">
        <v>44</v>
      </c>
      <c r="G194" t="b">
        <v>1</v>
      </c>
      <c r="H194" s="10">
        <v>3</v>
      </c>
      <c r="I194" s="10">
        <v>2</v>
      </c>
      <c r="J194" t="s">
        <v>25</v>
      </c>
      <c r="K194" s="9">
        <v>42009</v>
      </c>
      <c r="L194" t="s">
        <v>131</v>
      </c>
      <c r="M194" t="s">
        <v>50</v>
      </c>
      <c r="N194" s="7">
        <v>88</v>
      </c>
      <c r="O194" s="10">
        <v>2</v>
      </c>
      <c r="P194" s="7">
        <v>0</v>
      </c>
      <c r="Q194" t="s">
        <v>41</v>
      </c>
      <c r="R194" s="9">
        <v>97495</v>
      </c>
      <c r="S194" s="10">
        <v>9.43</v>
      </c>
      <c r="T194" s="9">
        <v>167876.09</v>
      </c>
      <c r="U194" s="6">
        <v>23</v>
      </c>
      <c r="V194" t="s">
        <v>29</v>
      </c>
    </row>
    <row r="195" spans="1:22" x14ac:dyDescent="0.25">
      <c r="A195" t="s">
        <v>342</v>
      </c>
      <c r="B195" s="1">
        <v>45888</v>
      </c>
      <c r="C195" s="7">
        <f>YEAR(Table2[[#This Row],[Date]])</f>
        <v>2025</v>
      </c>
      <c r="D195" t="s">
        <v>53</v>
      </c>
      <c r="E195" t="s">
        <v>66</v>
      </c>
      <c r="F195" t="s">
        <v>38</v>
      </c>
      <c r="G195" t="b">
        <v>0</v>
      </c>
      <c r="H195" s="10">
        <v>1</v>
      </c>
      <c r="I195" s="10">
        <v>3</v>
      </c>
      <c r="J195" t="s">
        <v>54</v>
      </c>
      <c r="K195" s="9">
        <v>41202</v>
      </c>
      <c r="L195" t="s">
        <v>202</v>
      </c>
      <c r="M195" t="s">
        <v>50</v>
      </c>
      <c r="N195" s="7">
        <v>12</v>
      </c>
      <c r="O195" s="10">
        <v>0</v>
      </c>
      <c r="P195" s="7">
        <v>1</v>
      </c>
      <c r="Q195" t="s">
        <v>62</v>
      </c>
      <c r="R195" s="9">
        <v>58158</v>
      </c>
      <c r="S195" s="10">
        <v>0.9</v>
      </c>
      <c r="T195" s="9">
        <v>88161.76</v>
      </c>
      <c r="U195" s="6">
        <v>36</v>
      </c>
      <c r="V195" t="s">
        <v>42</v>
      </c>
    </row>
    <row r="196" spans="1:22" x14ac:dyDescent="0.25">
      <c r="A196" t="s">
        <v>343</v>
      </c>
      <c r="B196" s="1">
        <v>45706</v>
      </c>
      <c r="C196" s="7">
        <f>YEAR(Table2[[#This Row],[Date]])</f>
        <v>2025</v>
      </c>
      <c r="D196" t="s">
        <v>22</v>
      </c>
      <c r="E196" t="s">
        <v>37</v>
      </c>
      <c r="F196" t="s">
        <v>38</v>
      </c>
      <c r="G196" t="b">
        <v>0</v>
      </c>
      <c r="H196" s="10">
        <v>3</v>
      </c>
      <c r="I196" s="10">
        <v>4</v>
      </c>
      <c r="J196" t="s">
        <v>54</v>
      </c>
      <c r="K196" s="9">
        <v>27792</v>
      </c>
      <c r="L196" t="s">
        <v>84</v>
      </c>
      <c r="M196" t="s">
        <v>61</v>
      </c>
      <c r="N196" s="7">
        <v>36</v>
      </c>
      <c r="O196" s="10">
        <v>1</v>
      </c>
      <c r="P196" s="7">
        <v>0</v>
      </c>
      <c r="Q196" t="s">
        <v>28</v>
      </c>
      <c r="R196" s="9">
        <v>62278</v>
      </c>
      <c r="S196" s="10">
        <v>8.01</v>
      </c>
      <c r="T196" s="9">
        <v>68939.64</v>
      </c>
      <c r="U196" s="6">
        <v>30</v>
      </c>
      <c r="V196" t="s">
        <v>29</v>
      </c>
    </row>
    <row r="197" spans="1:22" x14ac:dyDescent="0.25">
      <c r="A197" t="s">
        <v>344</v>
      </c>
      <c r="B197" s="1">
        <v>45925</v>
      </c>
      <c r="C197" s="7">
        <f>YEAR(Table2[[#This Row],[Date]])</f>
        <v>2025</v>
      </c>
      <c r="D197" t="s">
        <v>22</v>
      </c>
      <c r="E197" t="s">
        <v>32</v>
      </c>
      <c r="F197" t="s">
        <v>24</v>
      </c>
      <c r="G197" t="b">
        <v>0</v>
      </c>
      <c r="H197" s="10">
        <v>5</v>
      </c>
      <c r="I197" s="10">
        <v>2</v>
      </c>
      <c r="J197" t="s">
        <v>25</v>
      </c>
      <c r="K197" s="9">
        <v>46055</v>
      </c>
      <c r="L197" t="s">
        <v>115</v>
      </c>
      <c r="M197" t="s">
        <v>61</v>
      </c>
      <c r="N197" s="7">
        <v>87</v>
      </c>
      <c r="O197" s="10">
        <v>1</v>
      </c>
      <c r="P197" s="7">
        <v>2</v>
      </c>
      <c r="Q197" t="s">
        <v>41</v>
      </c>
      <c r="R197" s="9">
        <v>77792</v>
      </c>
      <c r="S197" s="10">
        <v>2.83</v>
      </c>
      <c r="T197" s="9">
        <v>238525.04</v>
      </c>
      <c r="U197" s="6">
        <v>19</v>
      </c>
      <c r="V197" t="s">
        <v>42</v>
      </c>
    </row>
    <row r="198" spans="1:22" x14ac:dyDescent="0.25">
      <c r="A198" t="s">
        <v>345</v>
      </c>
      <c r="B198" s="1">
        <v>45647</v>
      </c>
      <c r="C198" s="7">
        <f>YEAR(Table2[[#This Row],[Date]])</f>
        <v>2024</v>
      </c>
      <c r="D198" t="s">
        <v>69</v>
      </c>
      <c r="E198" t="s">
        <v>72</v>
      </c>
      <c r="F198" t="s">
        <v>44</v>
      </c>
      <c r="G198" t="b">
        <v>0</v>
      </c>
      <c r="H198" s="10">
        <v>2</v>
      </c>
      <c r="I198" s="10">
        <v>0</v>
      </c>
      <c r="J198" t="s">
        <v>25</v>
      </c>
      <c r="K198" s="9">
        <v>35759</v>
      </c>
      <c r="L198" t="s">
        <v>124</v>
      </c>
      <c r="M198" t="s">
        <v>27</v>
      </c>
      <c r="N198" s="7">
        <v>56</v>
      </c>
      <c r="O198" s="10">
        <v>0</v>
      </c>
      <c r="P198" s="7">
        <v>1</v>
      </c>
      <c r="Q198" t="s">
        <v>46</v>
      </c>
      <c r="R198" s="9">
        <v>24256</v>
      </c>
      <c r="S198" s="10">
        <v>4.57</v>
      </c>
      <c r="T198" s="9">
        <v>150702.41</v>
      </c>
      <c r="U198" s="6">
        <v>64</v>
      </c>
      <c r="V198" t="s">
        <v>42</v>
      </c>
    </row>
    <row r="199" spans="1:22" x14ac:dyDescent="0.25">
      <c r="A199" t="s">
        <v>346</v>
      </c>
      <c r="B199" s="1">
        <v>45683</v>
      </c>
      <c r="C199" s="7">
        <f>YEAR(Table2[[#This Row],[Date]])</f>
        <v>2025</v>
      </c>
      <c r="D199" t="s">
        <v>69</v>
      </c>
      <c r="E199" t="s">
        <v>72</v>
      </c>
      <c r="F199" t="s">
        <v>38</v>
      </c>
      <c r="G199" t="b">
        <v>1</v>
      </c>
      <c r="H199" s="10">
        <v>1</v>
      </c>
      <c r="I199" s="10">
        <v>2</v>
      </c>
      <c r="J199" t="s">
        <v>54</v>
      </c>
      <c r="K199" s="9">
        <v>22704</v>
      </c>
      <c r="L199" t="s">
        <v>133</v>
      </c>
      <c r="M199" t="s">
        <v>50</v>
      </c>
      <c r="N199" s="7">
        <v>31</v>
      </c>
      <c r="O199" s="10">
        <v>1</v>
      </c>
      <c r="P199" s="7">
        <v>1</v>
      </c>
      <c r="Q199" t="s">
        <v>46</v>
      </c>
      <c r="R199" s="9">
        <v>76845</v>
      </c>
      <c r="S199" s="10">
        <v>4.34</v>
      </c>
      <c r="T199" s="9">
        <v>175727.7</v>
      </c>
      <c r="U199" s="6">
        <v>34</v>
      </c>
      <c r="V199" t="s">
        <v>42</v>
      </c>
    </row>
    <row r="200" spans="1:22" x14ac:dyDescent="0.25">
      <c r="A200" t="s">
        <v>347</v>
      </c>
      <c r="B200" s="1">
        <v>45774</v>
      </c>
      <c r="C200" s="7">
        <f>YEAR(Table2[[#This Row],[Date]])</f>
        <v>2025</v>
      </c>
      <c r="D200" t="s">
        <v>77</v>
      </c>
      <c r="E200" t="s">
        <v>72</v>
      </c>
      <c r="F200" t="s">
        <v>38</v>
      </c>
      <c r="G200" t="b">
        <v>1</v>
      </c>
      <c r="H200" s="10">
        <v>0</v>
      </c>
      <c r="I200" s="10">
        <v>2</v>
      </c>
      <c r="J200" t="s">
        <v>54</v>
      </c>
      <c r="K200" s="9">
        <v>17945</v>
      </c>
      <c r="L200" t="s">
        <v>190</v>
      </c>
      <c r="M200" t="s">
        <v>27</v>
      </c>
      <c r="N200" s="7">
        <v>79</v>
      </c>
      <c r="O200" s="10">
        <v>0</v>
      </c>
      <c r="P200" s="7">
        <v>0</v>
      </c>
      <c r="Q200" t="s">
        <v>87</v>
      </c>
      <c r="R200" s="9">
        <v>94260</v>
      </c>
      <c r="S200" s="10">
        <v>2.23</v>
      </c>
      <c r="T200" s="9">
        <v>158324.15</v>
      </c>
      <c r="U200" s="6">
        <v>57</v>
      </c>
      <c r="V200" t="s">
        <v>29</v>
      </c>
    </row>
    <row r="201" spans="1:22" x14ac:dyDescent="0.25">
      <c r="A201" t="s">
        <v>348</v>
      </c>
      <c r="B201" s="1">
        <v>45588</v>
      </c>
      <c r="C201" s="7">
        <f>YEAR(Table2[[#This Row],[Date]])</f>
        <v>2024</v>
      </c>
      <c r="D201" t="s">
        <v>53</v>
      </c>
      <c r="E201" t="s">
        <v>48</v>
      </c>
      <c r="F201" t="s">
        <v>24</v>
      </c>
      <c r="G201" t="b">
        <v>1</v>
      </c>
      <c r="H201" s="10">
        <v>1</v>
      </c>
      <c r="I201" s="10">
        <v>1</v>
      </c>
      <c r="J201" t="s">
        <v>39</v>
      </c>
      <c r="K201" s="9">
        <v>25330</v>
      </c>
      <c r="L201" t="s">
        <v>190</v>
      </c>
      <c r="M201" t="s">
        <v>27</v>
      </c>
      <c r="N201" s="7">
        <v>64</v>
      </c>
      <c r="O201" s="10">
        <v>0</v>
      </c>
      <c r="P201" s="7">
        <v>2</v>
      </c>
      <c r="Q201" t="s">
        <v>87</v>
      </c>
      <c r="R201" s="9">
        <v>72443</v>
      </c>
      <c r="S201" s="10">
        <v>8.44</v>
      </c>
      <c r="T201" s="9">
        <v>155109.95000000001</v>
      </c>
      <c r="U201" s="6">
        <v>18</v>
      </c>
      <c r="V201" t="s">
        <v>42</v>
      </c>
    </row>
    <row r="202" spans="1:22" x14ac:dyDescent="0.25">
      <c r="A202" t="s">
        <v>349</v>
      </c>
      <c r="B202" s="1">
        <v>45488</v>
      </c>
      <c r="C202" s="7">
        <f>YEAR(Table2[[#This Row],[Date]])</f>
        <v>2024</v>
      </c>
      <c r="D202" t="s">
        <v>36</v>
      </c>
      <c r="E202" t="s">
        <v>23</v>
      </c>
      <c r="F202" t="s">
        <v>44</v>
      </c>
      <c r="G202" t="b">
        <v>0</v>
      </c>
      <c r="H202" s="10">
        <v>0</v>
      </c>
      <c r="I202" s="10">
        <v>4</v>
      </c>
      <c r="J202" t="s">
        <v>54</v>
      </c>
      <c r="K202" s="9">
        <v>14841</v>
      </c>
      <c r="L202" t="s">
        <v>90</v>
      </c>
      <c r="M202" t="s">
        <v>34</v>
      </c>
      <c r="N202" s="7">
        <v>82</v>
      </c>
      <c r="O202" s="10">
        <v>0</v>
      </c>
      <c r="P202" s="7">
        <v>0</v>
      </c>
      <c r="Q202" t="s">
        <v>41</v>
      </c>
      <c r="R202" s="9">
        <v>71633</v>
      </c>
      <c r="S202" s="10">
        <v>1.47</v>
      </c>
      <c r="T202" s="9">
        <v>96008.79</v>
      </c>
      <c r="U202" s="6">
        <v>29</v>
      </c>
      <c r="V202" t="s">
        <v>29</v>
      </c>
    </row>
    <row r="203" spans="1:22" x14ac:dyDescent="0.25">
      <c r="A203" t="s">
        <v>350</v>
      </c>
      <c r="B203" s="1">
        <v>46002</v>
      </c>
      <c r="C203" s="7">
        <f>YEAR(Table2[[#This Row],[Date]])</f>
        <v>2025</v>
      </c>
      <c r="D203" t="s">
        <v>22</v>
      </c>
      <c r="E203" t="s">
        <v>32</v>
      </c>
      <c r="F203" t="s">
        <v>24</v>
      </c>
      <c r="G203" t="b">
        <v>0</v>
      </c>
      <c r="H203" s="10">
        <v>0</v>
      </c>
      <c r="I203" s="10">
        <v>0</v>
      </c>
      <c r="J203" t="s">
        <v>39</v>
      </c>
      <c r="K203" s="9">
        <v>30841</v>
      </c>
      <c r="L203" t="s">
        <v>169</v>
      </c>
      <c r="M203" t="s">
        <v>50</v>
      </c>
      <c r="N203" s="7">
        <v>76</v>
      </c>
      <c r="O203" s="10">
        <v>0</v>
      </c>
      <c r="P203" s="7">
        <v>0</v>
      </c>
      <c r="Q203" t="s">
        <v>46</v>
      </c>
      <c r="R203" s="9">
        <v>78816</v>
      </c>
      <c r="S203" s="10">
        <v>5.34</v>
      </c>
      <c r="T203" s="9">
        <v>28820.42</v>
      </c>
      <c r="U203" s="6">
        <v>29</v>
      </c>
      <c r="V203" t="s">
        <v>29</v>
      </c>
    </row>
    <row r="204" spans="1:22" x14ac:dyDescent="0.25">
      <c r="A204" t="s">
        <v>351</v>
      </c>
      <c r="B204" s="1">
        <v>45337</v>
      </c>
      <c r="C204" s="7">
        <f>YEAR(Table2[[#This Row],[Date]])</f>
        <v>2024</v>
      </c>
      <c r="D204" t="s">
        <v>36</v>
      </c>
      <c r="E204" t="s">
        <v>66</v>
      </c>
      <c r="F204" t="s">
        <v>24</v>
      </c>
      <c r="G204" t="b">
        <v>0</v>
      </c>
      <c r="H204" s="10">
        <v>3</v>
      </c>
      <c r="I204" s="10">
        <v>1</v>
      </c>
      <c r="J204" t="s">
        <v>25</v>
      </c>
      <c r="K204" s="9">
        <v>10341</v>
      </c>
      <c r="L204" t="s">
        <v>163</v>
      </c>
      <c r="M204" t="s">
        <v>61</v>
      </c>
      <c r="N204" s="7">
        <v>11</v>
      </c>
      <c r="O204" s="10">
        <v>1</v>
      </c>
      <c r="P204" s="7">
        <v>0</v>
      </c>
      <c r="Q204" t="s">
        <v>87</v>
      </c>
      <c r="R204" s="9">
        <v>108235</v>
      </c>
      <c r="S204" s="10">
        <v>2.54</v>
      </c>
      <c r="T204" s="9">
        <v>214194.78</v>
      </c>
      <c r="U204" s="6">
        <v>23</v>
      </c>
      <c r="V204" t="s">
        <v>42</v>
      </c>
    </row>
    <row r="205" spans="1:22" x14ac:dyDescent="0.25">
      <c r="A205" t="s">
        <v>352</v>
      </c>
      <c r="B205" s="1">
        <v>45514</v>
      </c>
      <c r="C205" s="7">
        <f>YEAR(Table2[[#This Row],[Date]])</f>
        <v>2024</v>
      </c>
      <c r="D205" t="s">
        <v>69</v>
      </c>
      <c r="E205" t="s">
        <v>23</v>
      </c>
      <c r="F205" t="s">
        <v>24</v>
      </c>
      <c r="G205" t="b">
        <v>1</v>
      </c>
      <c r="H205" s="10">
        <v>5</v>
      </c>
      <c r="I205" s="10">
        <v>1</v>
      </c>
      <c r="J205" t="s">
        <v>25</v>
      </c>
      <c r="K205" s="9">
        <v>16939</v>
      </c>
      <c r="L205" t="s">
        <v>238</v>
      </c>
      <c r="M205" t="s">
        <v>27</v>
      </c>
      <c r="N205" s="7">
        <v>54</v>
      </c>
      <c r="O205" s="10">
        <v>0</v>
      </c>
      <c r="P205" s="7">
        <v>1</v>
      </c>
      <c r="Q205" t="s">
        <v>62</v>
      </c>
      <c r="R205" s="9">
        <v>86001</v>
      </c>
      <c r="S205" s="10">
        <v>1.32</v>
      </c>
      <c r="T205" s="9">
        <v>69905.570000000007</v>
      </c>
      <c r="U205" s="6">
        <v>60</v>
      </c>
      <c r="V205" t="s">
        <v>29</v>
      </c>
    </row>
    <row r="206" spans="1:22" x14ac:dyDescent="0.25">
      <c r="A206" t="s">
        <v>354</v>
      </c>
      <c r="B206" s="1">
        <v>45484</v>
      </c>
      <c r="C206" s="7">
        <f>YEAR(Table2[[#This Row],[Date]])</f>
        <v>2024</v>
      </c>
      <c r="D206" t="s">
        <v>36</v>
      </c>
      <c r="E206" t="s">
        <v>72</v>
      </c>
      <c r="F206" t="s">
        <v>24</v>
      </c>
      <c r="G206" t="b">
        <v>1</v>
      </c>
      <c r="H206" s="10">
        <v>2</v>
      </c>
      <c r="I206" s="10">
        <v>3</v>
      </c>
      <c r="J206" t="s">
        <v>54</v>
      </c>
      <c r="K206" s="9">
        <v>32269</v>
      </c>
      <c r="L206" t="s">
        <v>293</v>
      </c>
      <c r="M206" t="s">
        <v>34</v>
      </c>
      <c r="N206" s="7">
        <v>10</v>
      </c>
      <c r="O206" s="10">
        <v>0</v>
      </c>
      <c r="P206" s="7">
        <v>1</v>
      </c>
      <c r="Q206" t="s">
        <v>46</v>
      </c>
      <c r="R206" s="9">
        <v>56588</v>
      </c>
      <c r="S206" s="10">
        <v>7.74</v>
      </c>
      <c r="T206" s="9">
        <v>127433.19</v>
      </c>
      <c r="U206" s="6">
        <v>60</v>
      </c>
      <c r="V206" t="s">
        <v>29</v>
      </c>
    </row>
    <row r="207" spans="1:22" x14ac:dyDescent="0.25">
      <c r="A207" t="s">
        <v>355</v>
      </c>
      <c r="B207" s="1">
        <v>45708</v>
      </c>
      <c r="C207" s="7">
        <f>YEAR(Table2[[#This Row],[Date]])</f>
        <v>2025</v>
      </c>
      <c r="D207" t="s">
        <v>77</v>
      </c>
      <c r="E207" t="s">
        <v>83</v>
      </c>
      <c r="F207" t="s">
        <v>38</v>
      </c>
      <c r="G207" t="b">
        <v>1</v>
      </c>
      <c r="H207" s="10">
        <v>4</v>
      </c>
      <c r="I207" s="10">
        <v>0</v>
      </c>
      <c r="J207" t="s">
        <v>25</v>
      </c>
      <c r="K207" s="9">
        <v>5453</v>
      </c>
      <c r="L207" t="s">
        <v>103</v>
      </c>
      <c r="M207" t="s">
        <v>27</v>
      </c>
      <c r="N207" s="7">
        <v>10</v>
      </c>
      <c r="O207" s="10">
        <v>1</v>
      </c>
      <c r="P207" s="7">
        <v>1</v>
      </c>
      <c r="Q207" t="s">
        <v>81</v>
      </c>
      <c r="R207" s="9">
        <v>46433</v>
      </c>
      <c r="S207" s="10">
        <v>5.18</v>
      </c>
      <c r="T207" s="9">
        <v>237683.18</v>
      </c>
      <c r="U207" s="6">
        <v>30</v>
      </c>
      <c r="V207" t="s">
        <v>29</v>
      </c>
    </row>
    <row r="208" spans="1:22" x14ac:dyDescent="0.25">
      <c r="A208" t="s">
        <v>356</v>
      </c>
      <c r="B208" s="1">
        <v>45981</v>
      </c>
      <c r="C208" s="7">
        <f>YEAR(Table2[[#This Row],[Date]])</f>
        <v>2025</v>
      </c>
      <c r="D208" t="s">
        <v>89</v>
      </c>
      <c r="E208" t="s">
        <v>66</v>
      </c>
      <c r="F208" t="s">
        <v>24</v>
      </c>
      <c r="G208" t="b">
        <v>0</v>
      </c>
      <c r="H208" s="10">
        <v>5</v>
      </c>
      <c r="I208" s="10">
        <v>0</v>
      </c>
      <c r="J208" t="s">
        <v>25</v>
      </c>
      <c r="K208" s="9">
        <v>25001</v>
      </c>
      <c r="L208" t="s">
        <v>253</v>
      </c>
      <c r="M208" t="s">
        <v>27</v>
      </c>
      <c r="N208" s="7">
        <v>77</v>
      </c>
      <c r="O208" s="10">
        <v>0</v>
      </c>
      <c r="P208" s="7">
        <v>0</v>
      </c>
      <c r="Q208" t="s">
        <v>62</v>
      </c>
      <c r="R208" s="9">
        <v>91195</v>
      </c>
      <c r="S208" s="10">
        <v>8.08</v>
      </c>
      <c r="T208" s="9">
        <v>130999.08</v>
      </c>
      <c r="U208" s="6">
        <v>42</v>
      </c>
      <c r="V208" t="s">
        <v>29</v>
      </c>
    </row>
    <row r="209" spans="1:22" x14ac:dyDescent="0.25">
      <c r="A209" t="s">
        <v>357</v>
      </c>
      <c r="B209" s="1">
        <v>45457</v>
      </c>
      <c r="C209" s="7">
        <f>YEAR(Table2[[#This Row],[Date]])</f>
        <v>2024</v>
      </c>
      <c r="D209" t="s">
        <v>53</v>
      </c>
      <c r="E209" t="s">
        <v>66</v>
      </c>
      <c r="F209" t="s">
        <v>38</v>
      </c>
      <c r="G209" t="b">
        <v>0</v>
      </c>
      <c r="H209" s="10">
        <v>0</v>
      </c>
      <c r="I209" s="10">
        <v>2</v>
      </c>
      <c r="J209" t="s">
        <v>54</v>
      </c>
      <c r="K209" s="9">
        <v>7166</v>
      </c>
      <c r="L209" t="s">
        <v>358</v>
      </c>
      <c r="M209" t="s">
        <v>34</v>
      </c>
      <c r="N209" s="7">
        <v>45</v>
      </c>
      <c r="O209" s="10">
        <v>0</v>
      </c>
      <c r="P209" s="7">
        <v>0</v>
      </c>
      <c r="Q209" t="s">
        <v>81</v>
      </c>
      <c r="R209" s="9">
        <v>43043</v>
      </c>
      <c r="S209" s="10">
        <v>4.42</v>
      </c>
      <c r="T209" s="9">
        <v>38253.68</v>
      </c>
      <c r="U209" s="6">
        <v>20</v>
      </c>
      <c r="V209" t="s">
        <v>152</v>
      </c>
    </row>
    <row r="210" spans="1:22" x14ac:dyDescent="0.25">
      <c r="A210" t="s">
        <v>359</v>
      </c>
      <c r="B210" s="1">
        <v>45972</v>
      </c>
      <c r="C210" s="7">
        <f>YEAR(Table2[[#This Row],[Date]])</f>
        <v>2025</v>
      </c>
      <c r="D210" t="s">
        <v>31</v>
      </c>
      <c r="E210" t="s">
        <v>23</v>
      </c>
      <c r="F210" t="s">
        <v>38</v>
      </c>
      <c r="G210" t="b">
        <v>0</v>
      </c>
      <c r="H210" s="10">
        <v>3</v>
      </c>
      <c r="I210" s="10">
        <v>3</v>
      </c>
      <c r="J210" t="s">
        <v>39</v>
      </c>
      <c r="K210" s="9">
        <v>47328</v>
      </c>
      <c r="L210" t="s">
        <v>195</v>
      </c>
      <c r="M210" t="s">
        <v>34</v>
      </c>
      <c r="N210" s="7">
        <v>25</v>
      </c>
      <c r="O210" s="10">
        <v>0</v>
      </c>
      <c r="P210" s="7">
        <v>0</v>
      </c>
      <c r="Q210" t="s">
        <v>81</v>
      </c>
      <c r="R210" s="9">
        <v>111068</v>
      </c>
      <c r="S210" s="10">
        <v>6.49</v>
      </c>
      <c r="T210" s="9">
        <v>154235.75</v>
      </c>
      <c r="U210" s="6">
        <v>29</v>
      </c>
      <c r="V210" t="s">
        <v>42</v>
      </c>
    </row>
    <row r="211" spans="1:22" x14ac:dyDescent="0.25">
      <c r="A211" t="s">
        <v>360</v>
      </c>
      <c r="B211" s="1">
        <v>45854</v>
      </c>
      <c r="C211" s="7">
        <f>YEAR(Table2[[#This Row],[Date]])</f>
        <v>2025</v>
      </c>
      <c r="D211" t="s">
        <v>89</v>
      </c>
      <c r="E211" t="s">
        <v>83</v>
      </c>
      <c r="F211" t="s">
        <v>38</v>
      </c>
      <c r="G211" t="b">
        <v>1</v>
      </c>
      <c r="H211" s="10">
        <v>3</v>
      </c>
      <c r="I211" s="10">
        <v>1</v>
      </c>
      <c r="J211" t="s">
        <v>25</v>
      </c>
      <c r="K211" s="9">
        <v>41314</v>
      </c>
      <c r="L211" t="s">
        <v>115</v>
      </c>
      <c r="M211" t="s">
        <v>34</v>
      </c>
      <c r="N211" s="7">
        <v>65</v>
      </c>
      <c r="O211" s="10">
        <v>0</v>
      </c>
      <c r="P211" s="7">
        <v>0</v>
      </c>
      <c r="Q211" t="s">
        <v>87</v>
      </c>
      <c r="R211" s="9">
        <v>96608</v>
      </c>
      <c r="S211" s="10">
        <v>6.25</v>
      </c>
      <c r="T211" s="9">
        <v>31135.32</v>
      </c>
      <c r="U211" s="6">
        <v>50</v>
      </c>
      <c r="V211" t="s">
        <v>29</v>
      </c>
    </row>
    <row r="212" spans="1:22" x14ac:dyDescent="0.25">
      <c r="A212" t="s">
        <v>361</v>
      </c>
      <c r="B212" s="1">
        <v>45797</v>
      </c>
      <c r="C212" s="7">
        <f>YEAR(Table2[[#This Row],[Date]])</f>
        <v>2025</v>
      </c>
      <c r="D212" t="s">
        <v>53</v>
      </c>
      <c r="E212" t="s">
        <v>32</v>
      </c>
      <c r="F212" t="s">
        <v>38</v>
      </c>
      <c r="G212" t="b">
        <v>1</v>
      </c>
      <c r="H212" s="10">
        <v>3</v>
      </c>
      <c r="I212" s="10">
        <v>1</v>
      </c>
      <c r="J212" t="s">
        <v>25</v>
      </c>
      <c r="K212" s="9">
        <v>42028</v>
      </c>
      <c r="L212" t="s">
        <v>78</v>
      </c>
      <c r="M212" t="s">
        <v>61</v>
      </c>
      <c r="N212" s="7">
        <v>39</v>
      </c>
      <c r="O212" s="10">
        <v>2</v>
      </c>
      <c r="P212" s="7">
        <v>2</v>
      </c>
      <c r="Q212" t="s">
        <v>46</v>
      </c>
      <c r="R212" s="9">
        <v>136436</v>
      </c>
      <c r="S212" s="10">
        <v>6.25</v>
      </c>
      <c r="T212" s="9">
        <v>68639.570000000007</v>
      </c>
      <c r="U212" s="6">
        <v>61</v>
      </c>
      <c r="V212" t="s">
        <v>29</v>
      </c>
    </row>
    <row r="213" spans="1:22" x14ac:dyDescent="0.25">
      <c r="A213" t="s">
        <v>363</v>
      </c>
      <c r="B213" s="1">
        <v>45603</v>
      </c>
      <c r="C213" s="7">
        <f>YEAR(Table2[[#This Row],[Date]])</f>
        <v>2024</v>
      </c>
      <c r="D213" t="s">
        <v>53</v>
      </c>
      <c r="E213" t="s">
        <v>83</v>
      </c>
      <c r="F213" t="s">
        <v>24</v>
      </c>
      <c r="G213" t="b">
        <v>1</v>
      </c>
      <c r="H213" s="10">
        <v>2</v>
      </c>
      <c r="I213" s="10">
        <v>0</v>
      </c>
      <c r="J213" t="s">
        <v>25</v>
      </c>
      <c r="K213" s="9">
        <v>19511</v>
      </c>
      <c r="L213" t="s">
        <v>221</v>
      </c>
      <c r="M213" t="s">
        <v>27</v>
      </c>
      <c r="N213" s="7">
        <v>21</v>
      </c>
      <c r="O213" s="10">
        <v>0</v>
      </c>
      <c r="P213" s="7">
        <v>0</v>
      </c>
      <c r="Q213" t="s">
        <v>28</v>
      </c>
      <c r="R213" s="9">
        <v>134517</v>
      </c>
      <c r="S213" s="10">
        <v>4.17</v>
      </c>
      <c r="T213" s="9">
        <v>42801.83</v>
      </c>
      <c r="U213" s="6">
        <v>38</v>
      </c>
      <c r="V213" t="s">
        <v>29</v>
      </c>
    </row>
    <row r="214" spans="1:22" x14ac:dyDescent="0.25">
      <c r="A214" t="s">
        <v>364</v>
      </c>
      <c r="B214" s="1">
        <v>45963</v>
      </c>
      <c r="C214" s="7">
        <f>YEAR(Table2[[#This Row],[Date]])</f>
        <v>2025</v>
      </c>
      <c r="D214" t="s">
        <v>69</v>
      </c>
      <c r="E214" t="s">
        <v>83</v>
      </c>
      <c r="F214" t="s">
        <v>38</v>
      </c>
      <c r="G214" t="b">
        <v>1</v>
      </c>
      <c r="H214" s="10">
        <v>4</v>
      </c>
      <c r="I214" s="10">
        <v>1</v>
      </c>
      <c r="J214" t="s">
        <v>25</v>
      </c>
      <c r="K214" s="9">
        <v>46923</v>
      </c>
      <c r="L214" t="s">
        <v>291</v>
      </c>
      <c r="M214" t="s">
        <v>27</v>
      </c>
      <c r="N214" s="7">
        <v>19</v>
      </c>
      <c r="O214" s="10">
        <v>2</v>
      </c>
      <c r="P214" s="7">
        <v>2</v>
      </c>
      <c r="Q214" t="s">
        <v>28</v>
      </c>
      <c r="R214" s="9">
        <v>1768</v>
      </c>
      <c r="S214" s="10">
        <v>9.0500000000000007</v>
      </c>
      <c r="T214" s="9">
        <v>144026.97</v>
      </c>
      <c r="U214" s="6">
        <v>24</v>
      </c>
      <c r="V214" t="s">
        <v>42</v>
      </c>
    </row>
    <row r="215" spans="1:22" x14ac:dyDescent="0.25">
      <c r="A215" t="s">
        <v>365</v>
      </c>
      <c r="B215" s="1">
        <v>45461</v>
      </c>
      <c r="C215" s="7">
        <f>YEAR(Table2[[#This Row],[Date]])</f>
        <v>2024</v>
      </c>
      <c r="D215" t="s">
        <v>97</v>
      </c>
      <c r="E215" t="s">
        <v>23</v>
      </c>
      <c r="F215" t="s">
        <v>44</v>
      </c>
      <c r="G215" t="b">
        <v>1</v>
      </c>
      <c r="H215" s="10">
        <v>5</v>
      </c>
      <c r="I215" s="10">
        <v>2</v>
      </c>
      <c r="J215" t="s">
        <v>25</v>
      </c>
      <c r="K215" s="9">
        <v>14770</v>
      </c>
      <c r="L215" t="s">
        <v>366</v>
      </c>
      <c r="M215" t="s">
        <v>34</v>
      </c>
      <c r="N215" s="7">
        <v>50</v>
      </c>
      <c r="O215" s="10">
        <v>0</v>
      </c>
      <c r="P215" s="7">
        <v>2</v>
      </c>
      <c r="Q215" t="s">
        <v>46</v>
      </c>
      <c r="R215" s="9">
        <v>83049</v>
      </c>
      <c r="S215" s="10">
        <v>3.62</v>
      </c>
      <c r="T215" s="9">
        <v>122421.47</v>
      </c>
      <c r="U215" s="6">
        <v>21</v>
      </c>
      <c r="V215" t="s">
        <v>42</v>
      </c>
    </row>
    <row r="216" spans="1:22" x14ac:dyDescent="0.25">
      <c r="A216" t="s">
        <v>367</v>
      </c>
      <c r="B216" s="1">
        <v>45447</v>
      </c>
      <c r="C216" s="7">
        <f>YEAR(Table2[[#This Row],[Date]])</f>
        <v>2024</v>
      </c>
      <c r="D216" t="s">
        <v>77</v>
      </c>
      <c r="E216" t="s">
        <v>66</v>
      </c>
      <c r="F216" t="s">
        <v>44</v>
      </c>
      <c r="G216" t="b">
        <v>0</v>
      </c>
      <c r="H216" s="10">
        <v>3</v>
      </c>
      <c r="I216" s="10">
        <v>0</v>
      </c>
      <c r="J216" t="s">
        <v>25</v>
      </c>
      <c r="K216" s="9">
        <v>54918</v>
      </c>
      <c r="L216" t="s">
        <v>190</v>
      </c>
      <c r="M216" t="s">
        <v>61</v>
      </c>
      <c r="N216" s="7">
        <v>11</v>
      </c>
      <c r="O216" s="10">
        <v>2</v>
      </c>
      <c r="P216" s="7">
        <v>1</v>
      </c>
      <c r="Q216" t="s">
        <v>51</v>
      </c>
      <c r="R216" s="9">
        <v>78268</v>
      </c>
      <c r="S216" s="10">
        <v>5.74</v>
      </c>
      <c r="T216" s="9">
        <v>155412.17000000001</v>
      </c>
      <c r="U216" s="6">
        <v>61</v>
      </c>
      <c r="V216" t="s">
        <v>29</v>
      </c>
    </row>
    <row r="217" spans="1:22" x14ac:dyDescent="0.25">
      <c r="A217" t="s">
        <v>368</v>
      </c>
      <c r="B217" s="1">
        <v>45902</v>
      </c>
      <c r="C217" s="7">
        <f>YEAR(Table2[[#This Row],[Date]])</f>
        <v>2025</v>
      </c>
      <c r="D217" t="s">
        <v>97</v>
      </c>
      <c r="E217" t="s">
        <v>98</v>
      </c>
      <c r="F217" t="s">
        <v>24</v>
      </c>
      <c r="G217" t="b">
        <v>0</v>
      </c>
      <c r="H217" s="10">
        <v>3</v>
      </c>
      <c r="I217" s="10">
        <v>2</v>
      </c>
      <c r="J217" t="s">
        <v>25</v>
      </c>
      <c r="K217" s="9">
        <v>27602</v>
      </c>
      <c r="L217" t="s">
        <v>366</v>
      </c>
      <c r="M217" t="s">
        <v>27</v>
      </c>
      <c r="N217" s="7">
        <v>77</v>
      </c>
      <c r="O217" s="10">
        <v>0</v>
      </c>
      <c r="P217" s="7">
        <v>0</v>
      </c>
      <c r="Q217" t="s">
        <v>51</v>
      </c>
      <c r="R217" s="9">
        <v>67540</v>
      </c>
      <c r="S217" s="10">
        <v>0.91</v>
      </c>
      <c r="T217" s="9">
        <v>13251.34</v>
      </c>
      <c r="U217" s="6">
        <v>34</v>
      </c>
      <c r="V217" t="s">
        <v>29</v>
      </c>
    </row>
    <row r="218" spans="1:22" x14ac:dyDescent="0.25">
      <c r="A218" t="s">
        <v>369</v>
      </c>
      <c r="B218" s="1">
        <v>45814</v>
      </c>
      <c r="C218" s="7">
        <f>YEAR(Table2[[#This Row],[Date]])</f>
        <v>2025</v>
      </c>
      <c r="D218" t="s">
        <v>53</v>
      </c>
      <c r="E218" t="s">
        <v>98</v>
      </c>
      <c r="F218" t="s">
        <v>24</v>
      </c>
      <c r="G218" t="b">
        <v>1</v>
      </c>
      <c r="H218" s="10">
        <v>1</v>
      </c>
      <c r="I218" s="10">
        <v>3</v>
      </c>
      <c r="J218" t="s">
        <v>54</v>
      </c>
      <c r="K218" s="9">
        <v>50524</v>
      </c>
      <c r="L218" t="s">
        <v>198</v>
      </c>
      <c r="M218" t="s">
        <v>50</v>
      </c>
      <c r="N218" s="7">
        <v>58</v>
      </c>
      <c r="O218" s="10">
        <v>1</v>
      </c>
      <c r="P218" s="7">
        <v>0</v>
      </c>
      <c r="Q218" t="s">
        <v>51</v>
      </c>
      <c r="R218" s="9">
        <v>17817</v>
      </c>
      <c r="S218" s="10">
        <v>2.44</v>
      </c>
      <c r="T218" s="9">
        <v>206148.11</v>
      </c>
      <c r="U218" s="6">
        <v>31</v>
      </c>
      <c r="V218" t="s">
        <v>42</v>
      </c>
    </row>
    <row r="219" spans="1:22" x14ac:dyDescent="0.25">
      <c r="A219" t="s">
        <v>370</v>
      </c>
      <c r="B219" s="1">
        <v>45597</v>
      </c>
      <c r="C219" s="7">
        <f>YEAR(Table2[[#This Row],[Date]])</f>
        <v>2024</v>
      </c>
      <c r="D219" t="s">
        <v>53</v>
      </c>
      <c r="E219" t="s">
        <v>83</v>
      </c>
      <c r="F219" t="s">
        <v>44</v>
      </c>
      <c r="G219" t="b">
        <v>0</v>
      </c>
      <c r="H219" s="10">
        <v>2</v>
      </c>
      <c r="I219" s="10">
        <v>0</v>
      </c>
      <c r="J219" t="s">
        <v>25</v>
      </c>
      <c r="K219" s="9">
        <v>5100</v>
      </c>
      <c r="L219" t="s">
        <v>107</v>
      </c>
      <c r="M219" t="s">
        <v>34</v>
      </c>
      <c r="N219" s="7">
        <v>15</v>
      </c>
      <c r="O219" s="10">
        <v>0</v>
      </c>
      <c r="P219" s="7">
        <v>0</v>
      </c>
      <c r="Q219" t="s">
        <v>46</v>
      </c>
      <c r="R219" s="9">
        <v>27514</v>
      </c>
      <c r="S219" s="10">
        <v>8.1999999999999993</v>
      </c>
      <c r="T219" s="9">
        <v>222012.1</v>
      </c>
      <c r="U219" s="6">
        <v>31</v>
      </c>
      <c r="V219" t="s">
        <v>42</v>
      </c>
    </row>
    <row r="220" spans="1:22" x14ac:dyDescent="0.25">
      <c r="A220" t="s">
        <v>371</v>
      </c>
      <c r="B220" s="1">
        <v>45421</v>
      </c>
      <c r="C220" s="7">
        <f>YEAR(Table2[[#This Row],[Date]])</f>
        <v>2024</v>
      </c>
      <c r="D220" t="s">
        <v>36</v>
      </c>
      <c r="E220" t="s">
        <v>32</v>
      </c>
      <c r="F220" t="s">
        <v>38</v>
      </c>
      <c r="G220" t="b">
        <v>0</v>
      </c>
      <c r="H220" s="10">
        <v>0</v>
      </c>
      <c r="I220" s="10">
        <v>2</v>
      </c>
      <c r="J220" t="s">
        <v>54</v>
      </c>
      <c r="K220" s="9">
        <v>38094</v>
      </c>
      <c r="L220" t="s">
        <v>327</v>
      </c>
      <c r="M220" t="s">
        <v>34</v>
      </c>
      <c r="N220" s="7">
        <v>83</v>
      </c>
      <c r="O220" s="10">
        <v>2</v>
      </c>
      <c r="P220" s="7">
        <v>0</v>
      </c>
      <c r="Q220" t="s">
        <v>28</v>
      </c>
      <c r="R220" s="9">
        <v>74474</v>
      </c>
      <c r="S220" s="10">
        <v>2.61</v>
      </c>
      <c r="T220" s="9">
        <v>73456.429999999993</v>
      </c>
      <c r="U220" s="6">
        <v>42</v>
      </c>
      <c r="V220" t="s">
        <v>29</v>
      </c>
    </row>
    <row r="221" spans="1:22" x14ac:dyDescent="0.25">
      <c r="A221" t="s">
        <v>372</v>
      </c>
      <c r="B221" s="1">
        <v>45911</v>
      </c>
      <c r="C221" s="7">
        <f>YEAR(Table2[[#This Row],[Date]])</f>
        <v>2025</v>
      </c>
      <c r="D221" t="s">
        <v>36</v>
      </c>
      <c r="E221" t="s">
        <v>37</v>
      </c>
      <c r="F221" t="s">
        <v>44</v>
      </c>
      <c r="G221" t="b">
        <v>0</v>
      </c>
      <c r="H221" s="10">
        <v>4</v>
      </c>
      <c r="I221" s="10">
        <v>2</v>
      </c>
      <c r="J221" t="s">
        <v>25</v>
      </c>
      <c r="K221" s="9">
        <v>18824</v>
      </c>
      <c r="L221" t="s">
        <v>124</v>
      </c>
      <c r="M221" t="s">
        <v>50</v>
      </c>
      <c r="N221" s="7">
        <v>47</v>
      </c>
      <c r="O221" s="10">
        <v>1</v>
      </c>
      <c r="P221" s="7">
        <v>0</v>
      </c>
      <c r="Q221" t="s">
        <v>62</v>
      </c>
      <c r="R221" s="9">
        <v>51211</v>
      </c>
      <c r="S221" s="10">
        <v>3</v>
      </c>
      <c r="T221" s="9">
        <v>50098.82</v>
      </c>
      <c r="U221" s="6">
        <v>31</v>
      </c>
      <c r="V221" t="s">
        <v>29</v>
      </c>
    </row>
    <row r="222" spans="1:22" x14ac:dyDescent="0.25">
      <c r="A222" t="s">
        <v>373</v>
      </c>
      <c r="B222" s="1">
        <v>45989</v>
      </c>
      <c r="C222" s="7">
        <f>YEAR(Table2[[#This Row],[Date]])</f>
        <v>2025</v>
      </c>
      <c r="D222" t="s">
        <v>22</v>
      </c>
      <c r="E222" t="s">
        <v>83</v>
      </c>
      <c r="F222" t="s">
        <v>38</v>
      </c>
      <c r="G222" t="b">
        <v>1</v>
      </c>
      <c r="H222" s="10">
        <v>0</v>
      </c>
      <c r="I222" s="10">
        <v>3</v>
      </c>
      <c r="J222" t="s">
        <v>54</v>
      </c>
      <c r="K222" s="9">
        <v>6401</v>
      </c>
      <c r="L222" t="s">
        <v>291</v>
      </c>
      <c r="M222" t="s">
        <v>34</v>
      </c>
      <c r="N222" s="7">
        <v>55</v>
      </c>
      <c r="O222" s="10">
        <v>1</v>
      </c>
      <c r="P222" s="7">
        <v>1</v>
      </c>
      <c r="Q222" t="s">
        <v>81</v>
      </c>
      <c r="R222" s="9">
        <v>39138</v>
      </c>
      <c r="S222" s="10">
        <v>8.18</v>
      </c>
      <c r="T222" s="9">
        <v>195355.41</v>
      </c>
      <c r="U222" s="6">
        <v>53</v>
      </c>
      <c r="V222" t="s">
        <v>42</v>
      </c>
    </row>
    <row r="223" spans="1:22" x14ac:dyDescent="0.25">
      <c r="A223" t="s">
        <v>374</v>
      </c>
      <c r="B223" s="1">
        <v>45754</v>
      </c>
      <c r="C223" s="7">
        <f>YEAR(Table2[[#This Row],[Date]])</f>
        <v>2025</v>
      </c>
      <c r="D223" t="s">
        <v>36</v>
      </c>
      <c r="E223" t="s">
        <v>48</v>
      </c>
      <c r="F223" t="s">
        <v>24</v>
      </c>
      <c r="G223" t="b">
        <v>1</v>
      </c>
      <c r="H223" s="10">
        <v>3</v>
      </c>
      <c r="I223" s="10">
        <v>1</v>
      </c>
      <c r="J223" t="s">
        <v>25</v>
      </c>
      <c r="K223" s="9">
        <v>29170</v>
      </c>
      <c r="L223" t="s">
        <v>291</v>
      </c>
      <c r="M223" t="s">
        <v>50</v>
      </c>
      <c r="N223" s="7">
        <v>21</v>
      </c>
      <c r="O223" s="10">
        <v>1</v>
      </c>
      <c r="P223" s="7">
        <v>0</v>
      </c>
      <c r="Q223" t="s">
        <v>28</v>
      </c>
      <c r="R223" s="9">
        <v>53401</v>
      </c>
      <c r="S223" s="10">
        <v>3.28</v>
      </c>
      <c r="T223" s="9">
        <v>103487.44</v>
      </c>
      <c r="U223" s="6">
        <v>21</v>
      </c>
      <c r="V223" t="s">
        <v>152</v>
      </c>
    </row>
    <row r="224" spans="1:22" x14ac:dyDescent="0.25">
      <c r="A224" t="s">
        <v>375</v>
      </c>
      <c r="B224" s="1">
        <v>45379</v>
      </c>
      <c r="C224" s="7">
        <f>YEAR(Table2[[#This Row],[Date]])</f>
        <v>2024</v>
      </c>
      <c r="D224" t="s">
        <v>69</v>
      </c>
      <c r="E224" t="s">
        <v>37</v>
      </c>
      <c r="F224" t="s">
        <v>38</v>
      </c>
      <c r="G224" t="b">
        <v>1</v>
      </c>
      <c r="H224" s="10">
        <v>5</v>
      </c>
      <c r="I224" s="10">
        <v>1</v>
      </c>
      <c r="J224" t="s">
        <v>25</v>
      </c>
      <c r="K224" s="9">
        <v>43852</v>
      </c>
      <c r="L224" t="s">
        <v>296</v>
      </c>
      <c r="M224" t="s">
        <v>34</v>
      </c>
      <c r="N224" s="7">
        <v>31</v>
      </c>
      <c r="O224" s="10">
        <v>0</v>
      </c>
      <c r="P224" s="7">
        <v>1</v>
      </c>
      <c r="Q224" t="s">
        <v>46</v>
      </c>
      <c r="R224" s="9">
        <v>31772</v>
      </c>
      <c r="S224" s="10">
        <v>8.32</v>
      </c>
      <c r="T224" s="9">
        <v>158952.99</v>
      </c>
      <c r="U224" s="6">
        <v>59</v>
      </c>
      <c r="V224" t="s">
        <v>29</v>
      </c>
    </row>
    <row r="225" spans="1:22" x14ac:dyDescent="0.25">
      <c r="A225" t="s">
        <v>376</v>
      </c>
      <c r="B225" s="1">
        <v>45915</v>
      </c>
      <c r="C225" s="7">
        <f>YEAR(Table2[[#This Row],[Date]])</f>
        <v>2025</v>
      </c>
      <c r="D225" t="s">
        <v>53</v>
      </c>
      <c r="E225" t="s">
        <v>48</v>
      </c>
      <c r="F225" t="s">
        <v>38</v>
      </c>
      <c r="G225" t="b">
        <v>0</v>
      </c>
      <c r="H225" s="10">
        <v>2</v>
      </c>
      <c r="I225" s="10">
        <v>4</v>
      </c>
      <c r="J225" t="s">
        <v>54</v>
      </c>
      <c r="K225" s="9">
        <v>13561</v>
      </c>
      <c r="L225" t="s">
        <v>192</v>
      </c>
      <c r="M225" t="s">
        <v>27</v>
      </c>
      <c r="N225" s="7">
        <v>41</v>
      </c>
      <c r="O225" s="10">
        <v>0</v>
      </c>
      <c r="P225" s="7">
        <v>2</v>
      </c>
      <c r="Q225" t="s">
        <v>46</v>
      </c>
      <c r="R225" s="9">
        <v>106490</v>
      </c>
      <c r="S225" s="10">
        <v>2.35</v>
      </c>
      <c r="T225" s="9">
        <v>112759.29</v>
      </c>
      <c r="U225" s="6">
        <v>61</v>
      </c>
      <c r="V225" t="s">
        <v>42</v>
      </c>
    </row>
    <row r="226" spans="1:22" x14ac:dyDescent="0.25">
      <c r="A226" t="s">
        <v>377</v>
      </c>
      <c r="B226" s="1">
        <v>45604</v>
      </c>
      <c r="C226" s="7">
        <f>YEAR(Table2[[#This Row],[Date]])</f>
        <v>2024</v>
      </c>
      <c r="D226" t="s">
        <v>22</v>
      </c>
      <c r="E226" t="s">
        <v>83</v>
      </c>
      <c r="F226" t="s">
        <v>44</v>
      </c>
      <c r="G226" t="b">
        <v>1</v>
      </c>
      <c r="H226" s="10">
        <v>5</v>
      </c>
      <c r="I226" s="10">
        <v>2</v>
      </c>
      <c r="J226" t="s">
        <v>25</v>
      </c>
      <c r="K226" s="9">
        <v>45109</v>
      </c>
      <c r="L226" t="s">
        <v>131</v>
      </c>
      <c r="M226" t="s">
        <v>50</v>
      </c>
      <c r="N226" s="7">
        <v>13</v>
      </c>
      <c r="O226" s="10">
        <v>0</v>
      </c>
      <c r="P226" s="7">
        <v>2</v>
      </c>
      <c r="Q226" t="s">
        <v>46</v>
      </c>
      <c r="R226" s="9">
        <v>105810</v>
      </c>
      <c r="S226" s="10">
        <v>7.87</v>
      </c>
      <c r="T226" s="9">
        <v>98757.75</v>
      </c>
      <c r="U226" s="6">
        <v>50</v>
      </c>
      <c r="V226" t="s">
        <v>42</v>
      </c>
    </row>
    <row r="227" spans="1:22" x14ac:dyDescent="0.25">
      <c r="A227" t="s">
        <v>378</v>
      </c>
      <c r="B227" s="1">
        <v>45631</v>
      </c>
      <c r="C227" s="7">
        <f>YEAR(Table2[[#This Row],[Date]])</f>
        <v>2024</v>
      </c>
      <c r="D227" t="s">
        <v>69</v>
      </c>
      <c r="E227" t="s">
        <v>23</v>
      </c>
      <c r="F227" t="s">
        <v>24</v>
      </c>
      <c r="G227" t="b">
        <v>1</v>
      </c>
      <c r="H227" s="10">
        <v>2</v>
      </c>
      <c r="I227" s="10">
        <v>1</v>
      </c>
      <c r="J227" t="s">
        <v>25</v>
      </c>
      <c r="K227" s="9">
        <v>35342</v>
      </c>
      <c r="L227" t="s">
        <v>188</v>
      </c>
      <c r="M227" t="s">
        <v>27</v>
      </c>
      <c r="N227" s="7">
        <v>46</v>
      </c>
      <c r="O227" s="10">
        <v>2</v>
      </c>
      <c r="P227" s="7">
        <v>2</v>
      </c>
      <c r="Q227" t="s">
        <v>51</v>
      </c>
      <c r="R227" s="9">
        <v>54190</v>
      </c>
      <c r="S227" s="10">
        <v>7.04</v>
      </c>
      <c r="T227" s="9">
        <v>195140.14</v>
      </c>
      <c r="U227" s="6">
        <v>60</v>
      </c>
      <c r="V227" t="s">
        <v>42</v>
      </c>
    </row>
    <row r="228" spans="1:22" x14ac:dyDescent="0.25">
      <c r="A228" t="s">
        <v>379</v>
      </c>
      <c r="B228" s="1">
        <v>45873</v>
      </c>
      <c r="C228" s="7">
        <f>YEAR(Table2[[#This Row],[Date]])</f>
        <v>2025</v>
      </c>
      <c r="D228" t="s">
        <v>97</v>
      </c>
      <c r="E228" t="s">
        <v>66</v>
      </c>
      <c r="F228" t="s">
        <v>38</v>
      </c>
      <c r="G228" t="b">
        <v>1</v>
      </c>
      <c r="H228" s="10">
        <v>5</v>
      </c>
      <c r="I228" s="10">
        <v>2</v>
      </c>
      <c r="J228" t="s">
        <v>25</v>
      </c>
      <c r="K228" s="9">
        <v>42177</v>
      </c>
      <c r="L228" t="s">
        <v>221</v>
      </c>
      <c r="M228" t="s">
        <v>50</v>
      </c>
      <c r="N228" s="7">
        <v>34</v>
      </c>
      <c r="O228" s="10">
        <v>2</v>
      </c>
      <c r="P228" s="7">
        <v>0</v>
      </c>
      <c r="Q228" t="s">
        <v>41</v>
      </c>
      <c r="R228" s="9">
        <v>119492</v>
      </c>
      <c r="S228" s="10">
        <v>5.72</v>
      </c>
      <c r="T228" s="9">
        <v>145896.41</v>
      </c>
      <c r="U228" s="6">
        <v>50</v>
      </c>
      <c r="V228" t="s">
        <v>29</v>
      </c>
    </row>
    <row r="229" spans="1:22" x14ac:dyDescent="0.25">
      <c r="A229" t="s">
        <v>380</v>
      </c>
      <c r="B229" s="1">
        <v>45937</v>
      </c>
      <c r="C229" s="7">
        <f>YEAR(Table2[[#This Row],[Date]])</f>
        <v>2025</v>
      </c>
      <c r="D229" t="s">
        <v>89</v>
      </c>
      <c r="E229" t="s">
        <v>83</v>
      </c>
      <c r="F229" t="s">
        <v>24</v>
      </c>
      <c r="G229" t="b">
        <v>0</v>
      </c>
      <c r="H229" s="10">
        <v>3</v>
      </c>
      <c r="I229" s="10">
        <v>1</v>
      </c>
      <c r="J229" t="s">
        <v>25</v>
      </c>
      <c r="K229" s="9">
        <v>38632</v>
      </c>
      <c r="L229" t="s">
        <v>86</v>
      </c>
      <c r="M229" t="s">
        <v>34</v>
      </c>
      <c r="N229" s="7">
        <v>87</v>
      </c>
      <c r="O229" s="10">
        <v>1</v>
      </c>
      <c r="P229" s="7">
        <v>1</v>
      </c>
      <c r="Q229" t="s">
        <v>62</v>
      </c>
      <c r="R229" s="9">
        <v>49218</v>
      </c>
      <c r="S229" s="10">
        <v>2.12</v>
      </c>
      <c r="T229" s="9">
        <v>98195.96</v>
      </c>
      <c r="U229" s="6">
        <v>39</v>
      </c>
      <c r="V229" t="s">
        <v>29</v>
      </c>
    </row>
    <row r="230" spans="1:22" x14ac:dyDescent="0.25">
      <c r="A230" t="s">
        <v>381</v>
      </c>
      <c r="B230" s="1">
        <v>45921</v>
      </c>
      <c r="C230" s="7">
        <f>YEAR(Table2[[#This Row],[Date]])</f>
        <v>2025</v>
      </c>
      <c r="D230" t="s">
        <v>53</v>
      </c>
      <c r="E230" t="s">
        <v>48</v>
      </c>
      <c r="F230" t="s">
        <v>24</v>
      </c>
      <c r="G230" t="b">
        <v>0</v>
      </c>
      <c r="H230" s="10">
        <v>3</v>
      </c>
      <c r="I230" s="10">
        <v>2</v>
      </c>
      <c r="J230" t="s">
        <v>25</v>
      </c>
      <c r="K230" s="9">
        <v>35359</v>
      </c>
      <c r="L230" t="s">
        <v>366</v>
      </c>
      <c r="M230" t="s">
        <v>34</v>
      </c>
      <c r="N230" s="7">
        <v>32</v>
      </c>
      <c r="O230" s="10">
        <v>0</v>
      </c>
      <c r="P230" s="7">
        <v>2</v>
      </c>
      <c r="Q230" t="s">
        <v>87</v>
      </c>
      <c r="R230" s="9">
        <v>33205</v>
      </c>
      <c r="S230" s="10">
        <v>1.06</v>
      </c>
      <c r="T230" s="9">
        <v>210002.95</v>
      </c>
      <c r="U230" s="6">
        <v>57</v>
      </c>
      <c r="V230" t="s">
        <v>29</v>
      </c>
    </row>
    <row r="231" spans="1:22" x14ac:dyDescent="0.25">
      <c r="A231" t="s">
        <v>382</v>
      </c>
      <c r="B231" s="1">
        <v>45904</v>
      </c>
      <c r="C231" s="7">
        <f>YEAR(Table2[[#This Row],[Date]])</f>
        <v>2025</v>
      </c>
      <c r="D231" t="s">
        <v>31</v>
      </c>
      <c r="E231" t="s">
        <v>32</v>
      </c>
      <c r="F231" t="s">
        <v>24</v>
      </c>
      <c r="G231" t="b">
        <v>0</v>
      </c>
      <c r="H231" s="10">
        <v>2</v>
      </c>
      <c r="I231" s="10">
        <v>0</v>
      </c>
      <c r="J231" t="s">
        <v>25</v>
      </c>
      <c r="K231" s="9">
        <v>24442</v>
      </c>
      <c r="L231" t="s">
        <v>383</v>
      </c>
      <c r="M231" t="s">
        <v>27</v>
      </c>
      <c r="N231" s="7">
        <v>23</v>
      </c>
      <c r="O231" s="10">
        <v>1</v>
      </c>
      <c r="P231" s="7">
        <v>1</v>
      </c>
      <c r="Q231" t="s">
        <v>46</v>
      </c>
      <c r="R231" s="9">
        <v>9339</v>
      </c>
      <c r="S231" s="10">
        <v>0.87</v>
      </c>
      <c r="T231" s="9">
        <v>215858.25</v>
      </c>
      <c r="U231" s="6">
        <v>48</v>
      </c>
      <c r="V231" t="s">
        <v>42</v>
      </c>
    </row>
    <row r="232" spans="1:22" x14ac:dyDescent="0.25">
      <c r="A232" t="s">
        <v>384</v>
      </c>
      <c r="B232" s="1">
        <v>45780</v>
      </c>
      <c r="C232" s="7">
        <f>YEAR(Table2[[#This Row],[Date]])</f>
        <v>2025</v>
      </c>
      <c r="D232" t="s">
        <v>89</v>
      </c>
      <c r="E232" t="s">
        <v>72</v>
      </c>
      <c r="F232" t="s">
        <v>44</v>
      </c>
      <c r="G232" t="b">
        <v>1</v>
      </c>
      <c r="H232" s="10">
        <v>5</v>
      </c>
      <c r="I232" s="10">
        <v>3</v>
      </c>
      <c r="J232" t="s">
        <v>25</v>
      </c>
      <c r="K232" s="9">
        <v>23377</v>
      </c>
      <c r="L232" t="s">
        <v>176</v>
      </c>
      <c r="M232" t="s">
        <v>50</v>
      </c>
      <c r="N232" s="7">
        <v>60</v>
      </c>
      <c r="O232" s="10">
        <v>1</v>
      </c>
      <c r="P232" s="7">
        <v>0</v>
      </c>
      <c r="Q232" t="s">
        <v>62</v>
      </c>
      <c r="R232" s="9">
        <v>78423</v>
      </c>
      <c r="S232" s="10">
        <v>3.53</v>
      </c>
      <c r="T232" s="9">
        <v>203033.29</v>
      </c>
      <c r="U232" s="6">
        <v>18</v>
      </c>
      <c r="V232" t="s">
        <v>29</v>
      </c>
    </row>
    <row r="233" spans="1:22" x14ac:dyDescent="0.25">
      <c r="A233" t="s">
        <v>385</v>
      </c>
      <c r="B233" s="1">
        <v>45528</v>
      </c>
      <c r="C233" s="7">
        <f>YEAR(Table2[[#This Row],[Date]])</f>
        <v>2024</v>
      </c>
      <c r="D233" t="s">
        <v>31</v>
      </c>
      <c r="E233" t="s">
        <v>23</v>
      </c>
      <c r="F233" t="s">
        <v>38</v>
      </c>
      <c r="G233" t="b">
        <v>0</v>
      </c>
      <c r="H233" s="10">
        <v>0</v>
      </c>
      <c r="I233" s="10">
        <v>3</v>
      </c>
      <c r="J233" t="s">
        <v>54</v>
      </c>
      <c r="K233" s="9">
        <v>28794</v>
      </c>
      <c r="L233" t="s">
        <v>157</v>
      </c>
      <c r="M233" t="s">
        <v>34</v>
      </c>
      <c r="N233" s="7">
        <v>59</v>
      </c>
      <c r="O233" s="10">
        <v>0</v>
      </c>
      <c r="P233" s="7">
        <v>1</v>
      </c>
      <c r="Q233" t="s">
        <v>87</v>
      </c>
      <c r="R233" s="9">
        <v>127061</v>
      </c>
      <c r="S233" s="10">
        <v>5.61</v>
      </c>
      <c r="T233" s="9">
        <v>33176.61</v>
      </c>
      <c r="U233" s="6">
        <v>26</v>
      </c>
      <c r="V233" t="s">
        <v>29</v>
      </c>
    </row>
    <row r="234" spans="1:22" x14ac:dyDescent="0.25">
      <c r="A234" t="s">
        <v>386</v>
      </c>
      <c r="B234" s="1">
        <v>45327</v>
      </c>
      <c r="C234" s="7">
        <f>YEAR(Table2[[#This Row],[Date]])</f>
        <v>2024</v>
      </c>
      <c r="D234" t="s">
        <v>36</v>
      </c>
      <c r="E234" t="s">
        <v>83</v>
      </c>
      <c r="F234" t="s">
        <v>44</v>
      </c>
      <c r="G234" t="b">
        <v>0</v>
      </c>
      <c r="H234" s="10">
        <v>5</v>
      </c>
      <c r="I234" s="10">
        <v>3</v>
      </c>
      <c r="J234" t="s">
        <v>25</v>
      </c>
      <c r="K234" s="9">
        <v>38365</v>
      </c>
      <c r="L234" t="s">
        <v>78</v>
      </c>
      <c r="M234" t="s">
        <v>61</v>
      </c>
      <c r="N234" s="7">
        <v>41</v>
      </c>
      <c r="O234" s="10">
        <v>1</v>
      </c>
      <c r="P234" s="7">
        <v>0</v>
      </c>
      <c r="Q234" t="s">
        <v>41</v>
      </c>
      <c r="R234" s="9">
        <v>6535</v>
      </c>
      <c r="S234" s="10">
        <v>4.6900000000000004</v>
      </c>
      <c r="T234" s="9">
        <v>42107.62</v>
      </c>
      <c r="U234" s="6">
        <v>61</v>
      </c>
      <c r="V234" t="s">
        <v>42</v>
      </c>
    </row>
    <row r="235" spans="1:22" x14ac:dyDescent="0.25">
      <c r="A235" t="s">
        <v>387</v>
      </c>
      <c r="B235" s="1">
        <v>45849</v>
      </c>
      <c r="C235" s="7">
        <f>YEAR(Table2[[#This Row],[Date]])</f>
        <v>2025</v>
      </c>
      <c r="D235" t="s">
        <v>31</v>
      </c>
      <c r="E235" t="s">
        <v>23</v>
      </c>
      <c r="F235" t="s">
        <v>24</v>
      </c>
      <c r="G235" t="b">
        <v>1</v>
      </c>
      <c r="H235" s="10">
        <v>5</v>
      </c>
      <c r="I235" s="10">
        <v>2</v>
      </c>
      <c r="J235" t="s">
        <v>25</v>
      </c>
      <c r="K235" s="9">
        <v>38098</v>
      </c>
      <c r="L235" t="s">
        <v>316</v>
      </c>
      <c r="M235" t="s">
        <v>61</v>
      </c>
      <c r="N235" s="7">
        <v>10</v>
      </c>
      <c r="O235" s="10">
        <v>0</v>
      </c>
      <c r="P235" s="7">
        <v>0</v>
      </c>
      <c r="Q235" t="s">
        <v>28</v>
      </c>
      <c r="R235" s="9">
        <v>92312</v>
      </c>
      <c r="S235" s="10">
        <v>6.28</v>
      </c>
      <c r="T235" s="9">
        <v>28552.54</v>
      </c>
      <c r="U235" s="6">
        <v>24</v>
      </c>
      <c r="V235" t="s">
        <v>42</v>
      </c>
    </row>
    <row r="236" spans="1:22" x14ac:dyDescent="0.25">
      <c r="A236" t="s">
        <v>388</v>
      </c>
      <c r="B236" s="1">
        <v>45981</v>
      </c>
      <c r="C236" s="7">
        <f>YEAR(Table2[[#This Row],[Date]])</f>
        <v>2025</v>
      </c>
      <c r="D236" t="s">
        <v>36</v>
      </c>
      <c r="E236" t="s">
        <v>32</v>
      </c>
      <c r="F236" t="s">
        <v>24</v>
      </c>
      <c r="G236" t="b">
        <v>0</v>
      </c>
      <c r="H236" s="10">
        <v>5</v>
      </c>
      <c r="I236" s="10">
        <v>4</v>
      </c>
      <c r="J236" t="s">
        <v>25</v>
      </c>
      <c r="K236" s="9">
        <v>7926</v>
      </c>
      <c r="L236" t="s">
        <v>78</v>
      </c>
      <c r="M236" t="s">
        <v>61</v>
      </c>
      <c r="N236" s="7">
        <v>69</v>
      </c>
      <c r="O236" s="10">
        <v>1</v>
      </c>
      <c r="P236" s="7">
        <v>1</v>
      </c>
      <c r="Q236" t="s">
        <v>62</v>
      </c>
      <c r="R236" s="9">
        <v>13834</v>
      </c>
      <c r="S236" s="10">
        <v>5.39</v>
      </c>
      <c r="T236" s="9">
        <v>50825.78</v>
      </c>
      <c r="U236" s="6">
        <v>55</v>
      </c>
      <c r="V236" t="s">
        <v>29</v>
      </c>
    </row>
    <row r="237" spans="1:22" x14ac:dyDescent="0.25">
      <c r="A237" t="s">
        <v>389</v>
      </c>
      <c r="B237" s="1">
        <v>45518</v>
      </c>
      <c r="C237" s="7">
        <f>YEAR(Table2[[#This Row],[Date]])</f>
        <v>2024</v>
      </c>
      <c r="D237" t="s">
        <v>53</v>
      </c>
      <c r="E237" t="s">
        <v>37</v>
      </c>
      <c r="F237" t="s">
        <v>44</v>
      </c>
      <c r="G237" t="b">
        <v>0</v>
      </c>
      <c r="H237" s="10">
        <v>3</v>
      </c>
      <c r="I237" s="10">
        <v>3</v>
      </c>
      <c r="J237" t="s">
        <v>39</v>
      </c>
      <c r="K237" s="9">
        <v>18500</v>
      </c>
      <c r="L237" t="s">
        <v>188</v>
      </c>
      <c r="M237" t="s">
        <v>50</v>
      </c>
      <c r="N237" s="7">
        <v>20</v>
      </c>
      <c r="O237" s="10">
        <v>1</v>
      </c>
      <c r="P237" s="7">
        <v>1</v>
      </c>
      <c r="Q237" t="s">
        <v>28</v>
      </c>
      <c r="R237" s="9">
        <v>25177</v>
      </c>
      <c r="S237" s="10">
        <v>4.7300000000000004</v>
      </c>
      <c r="T237" s="9">
        <v>101248.98</v>
      </c>
      <c r="U237" s="6">
        <v>48</v>
      </c>
      <c r="V237" t="s">
        <v>29</v>
      </c>
    </row>
    <row r="238" spans="1:22" x14ac:dyDescent="0.25">
      <c r="A238" t="s">
        <v>390</v>
      </c>
      <c r="B238" s="1">
        <v>46005</v>
      </c>
      <c r="C238" s="7">
        <f>YEAR(Table2[[#This Row],[Date]])</f>
        <v>2025</v>
      </c>
      <c r="D238" t="s">
        <v>89</v>
      </c>
      <c r="E238" t="s">
        <v>72</v>
      </c>
      <c r="F238" t="s">
        <v>44</v>
      </c>
      <c r="G238" t="b">
        <v>1</v>
      </c>
      <c r="H238" s="10">
        <v>2</v>
      </c>
      <c r="I238" s="10">
        <v>2</v>
      </c>
      <c r="J238" t="s">
        <v>39</v>
      </c>
      <c r="K238" s="9">
        <v>31012</v>
      </c>
      <c r="L238" t="s">
        <v>198</v>
      </c>
      <c r="M238" t="s">
        <v>27</v>
      </c>
      <c r="N238" s="7">
        <v>30</v>
      </c>
      <c r="O238" s="10">
        <v>0</v>
      </c>
      <c r="P238" s="7">
        <v>0</v>
      </c>
      <c r="Q238" t="s">
        <v>51</v>
      </c>
      <c r="R238" s="9">
        <v>42448</v>
      </c>
      <c r="S238" s="10">
        <v>6.95</v>
      </c>
      <c r="T238" s="9">
        <v>170464.51</v>
      </c>
      <c r="U238" s="6">
        <v>58</v>
      </c>
      <c r="V238" t="s">
        <v>29</v>
      </c>
    </row>
    <row r="239" spans="1:22" x14ac:dyDescent="0.25">
      <c r="A239" t="s">
        <v>391</v>
      </c>
      <c r="B239" s="1">
        <v>45862</v>
      </c>
      <c r="C239" s="7">
        <f>YEAR(Table2[[#This Row],[Date]])</f>
        <v>2025</v>
      </c>
      <c r="D239" t="s">
        <v>69</v>
      </c>
      <c r="E239" t="s">
        <v>72</v>
      </c>
      <c r="F239" t="s">
        <v>24</v>
      </c>
      <c r="G239" t="b">
        <v>1</v>
      </c>
      <c r="H239" s="10">
        <v>1</v>
      </c>
      <c r="I239" s="10">
        <v>2</v>
      </c>
      <c r="J239" t="s">
        <v>54</v>
      </c>
      <c r="K239" s="9">
        <v>31481</v>
      </c>
      <c r="L239" t="s">
        <v>121</v>
      </c>
      <c r="M239" t="s">
        <v>50</v>
      </c>
      <c r="N239" s="7">
        <v>56</v>
      </c>
      <c r="O239" s="10">
        <v>1</v>
      </c>
      <c r="P239" s="7">
        <v>1</v>
      </c>
      <c r="Q239" t="s">
        <v>62</v>
      </c>
      <c r="R239" s="9">
        <v>87501</v>
      </c>
      <c r="S239" s="10">
        <v>4.72</v>
      </c>
      <c r="T239" s="9">
        <v>153900.75</v>
      </c>
      <c r="U239" s="6">
        <v>32</v>
      </c>
      <c r="V239" t="s">
        <v>29</v>
      </c>
    </row>
    <row r="240" spans="1:22" x14ac:dyDescent="0.25">
      <c r="A240" t="s">
        <v>392</v>
      </c>
      <c r="B240" s="1">
        <v>45813</v>
      </c>
      <c r="C240" s="7">
        <f>YEAR(Table2[[#This Row],[Date]])</f>
        <v>2025</v>
      </c>
      <c r="D240" t="s">
        <v>69</v>
      </c>
      <c r="E240" t="s">
        <v>48</v>
      </c>
      <c r="F240" t="s">
        <v>44</v>
      </c>
      <c r="G240" t="b">
        <v>1</v>
      </c>
      <c r="H240" s="10">
        <v>1</v>
      </c>
      <c r="I240" s="10">
        <v>2</v>
      </c>
      <c r="J240" t="s">
        <v>54</v>
      </c>
      <c r="K240" s="9">
        <v>42375</v>
      </c>
      <c r="L240" t="s">
        <v>93</v>
      </c>
      <c r="M240" t="s">
        <v>61</v>
      </c>
      <c r="N240" s="7">
        <v>13</v>
      </c>
      <c r="O240" s="10">
        <v>1</v>
      </c>
      <c r="P240" s="7">
        <v>1</v>
      </c>
      <c r="Q240" t="s">
        <v>81</v>
      </c>
      <c r="R240" s="9">
        <v>71660</v>
      </c>
      <c r="S240" s="10">
        <v>3.4</v>
      </c>
      <c r="T240" s="9">
        <v>69194.399999999994</v>
      </c>
      <c r="U240" s="6">
        <v>53</v>
      </c>
      <c r="V240" t="s">
        <v>29</v>
      </c>
    </row>
    <row r="241" spans="1:22" x14ac:dyDescent="0.25">
      <c r="A241" t="s">
        <v>393</v>
      </c>
      <c r="B241" s="1">
        <v>45742</v>
      </c>
      <c r="C241" s="7">
        <f>YEAR(Table2[[#This Row],[Date]])</f>
        <v>2025</v>
      </c>
      <c r="D241" t="s">
        <v>69</v>
      </c>
      <c r="E241" t="s">
        <v>37</v>
      </c>
      <c r="F241" t="s">
        <v>44</v>
      </c>
      <c r="G241" t="b">
        <v>0</v>
      </c>
      <c r="H241" s="10">
        <v>5</v>
      </c>
      <c r="I241" s="10">
        <v>1</v>
      </c>
      <c r="J241" t="s">
        <v>25</v>
      </c>
      <c r="K241" s="9">
        <v>45453</v>
      </c>
      <c r="L241" t="s">
        <v>99</v>
      </c>
      <c r="M241" t="s">
        <v>27</v>
      </c>
      <c r="N241" s="7">
        <v>13</v>
      </c>
      <c r="O241" s="10">
        <v>1</v>
      </c>
      <c r="P241" s="7">
        <v>0</v>
      </c>
      <c r="Q241" t="s">
        <v>41</v>
      </c>
      <c r="R241" s="9">
        <v>10549</v>
      </c>
      <c r="S241" s="10">
        <v>7.17</v>
      </c>
      <c r="T241" s="9">
        <v>151687.76</v>
      </c>
      <c r="U241" s="6">
        <v>26</v>
      </c>
      <c r="V241" t="s">
        <v>29</v>
      </c>
    </row>
    <row r="242" spans="1:22" x14ac:dyDescent="0.25">
      <c r="A242" t="s">
        <v>394</v>
      </c>
      <c r="B242" s="1">
        <v>45654</v>
      </c>
      <c r="C242" s="7">
        <f>YEAR(Table2[[#This Row],[Date]])</f>
        <v>2024</v>
      </c>
      <c r="D242" t="s">
        <v>77</v>
      </c>
      <c r="E242" t="s">
        <v>48</v>
      </c>
      <c r="F242" t="s">
        <v>38</v>
      </c>
      <c r="G242" t="b">
        <v>0</v>
      </c>
      <c r="H242" s="10">
        <v>0</v>
      </c>
      <c r="I242" s="10">
        <v>0</v>
      </c>
      <c r="J242" t="s">
        <v>39</v>
      </c>
      <c r="K242" s="9">
        <v>45961</v>
      </c>
      <c r="L242" t="s">
        <v>151</v>
      </c>
      <c r="M242" t="s">
        <v>61</v>
      </c>
      <c r="N242" s="7">
        <v>42</v>
      </c>
      <c r="O242" s="10">
        <v>0</v>
      </c>
      <c r="P242" s="7">
        <v>0</v>
      </c>
      <c r="Q242" t="s">
        <v>87</v>
      </c>
      <c r="R242" s="9">
        <v>7095</v>
      </c>
      <c r="S242" s="10">
        <v>1.49</v>
      </c>
      <c r="T242" s="9">
        <v>202758.78</v>
      </c>
      <c r="U242" s="6">
        <v>31</v>
      </c>
      <c r="V242" t="s">
        <v>29</v>
      </c>
    </row>
    <row r="243" spans="1:22" x14ac:dyDescent="0.25">
      <c r="A243" t="s">
        <v>395</v>
      </c>
      <c r="B243" s="1">
        <v>45561</v>
      </c>
      <c r="C243" s="7">
        <f>YEAR(Table2[[#This Row],[Date]])</f>
        <v>2024</v>
      </c>
      <c r="D243" t="s">
        <v>89</v>
      </c>
      <c r="E243" t="s">
        <v>72</v>
      </c>
      <c r="F243" t="s">
        <v>44</v>
      </c>
      <c r="G243" t="b">
        <v>0</v>
      </c>
      <c r="H243" s="10">
        <v>2</v>
      </c>
      <c r="I243" s="10">
        <v>3</v>
      </c>
      <c r="J243" t="s">
        <v>54</v>
      </c>
      <c r="K243" s="9">
        <v>37517</v>
      </c>
      <c r="L243" t="s">
        <v>322</v>
      </c>
      <c r="M243" t="s">
        <v>27</v>
      </c>
      <c r="N243" s="7">
        <v>95</v>
      </c>
      <c r="O243" s="10">
        <v>0</v>
      </c>
      <c r="P243" s="7">
        <v>1</v>
      </c>
      <c r="Q243" t="s">
        <v>62</v>
      </c>
      <c r="R243" s="9">
        <v>121002</v>
      </c>
      <c r="S243" s="10">
        <v>7.21</v>
      </c>
      <c r="T243" s="9">
        <v>25466.89</v>
      </c>
      <c r="U243" s="6">
        <v>37</v>
      </c>
      <c r="V243" t="s">
        <v>29</v>
      </c>
    </row>
    <row r="244" spans="1:22" x14ac:dyDescent="0.25">
      <c r="A244" t="s">
        <v>396</v>
      </c>
      <c r="B244" s="1">
        <v>45675</v>
      </c>
      <c r="C244" s="7">
        <f>YEAR(Table2[[#This Row],[Date]])</f>
        <v>2025</v>
      </c>
      <c r="D244" t="s">
        <v>36</v>
      </c>
      <c r="E244" t="s">
        <v>37</v>
      </c>
      <c r="F244" t="s">
        <v>24</v>
      </c>
      <c r="G244" t="b">
        <v>0</v>
      </c>
      <c r="H244" s="10">
        <v>5</v>
      </c>
      <c r="I244" s="10">
        <v>0</v>
      </c>
      <c r="J244" t="s">
        <v>25</v>
      </c>
      <c r="K244" s="9">
        <v>45835</v>
      </c>
      <c r="L244" t="s">
        <v>178</v>
      </c>
      <c r="M244" t="s">
        <v>27</v>
      </c>
      <c r="N244" s="7">
        <v>71</v>
      </c>
      <c r="O244" s="10">
        <v>0</v>
      </c>
      <c r="P244" s="7">
        <v>1</v>
      </c>
      <c r="Q244" t="s">
        <v>62</v>
      </c>
      <c r="R244" s="9">
        <v>145672</v>
      </c>
      <c r="S244" s="10">
        <v>3.2</v>
      </c>
      <c r="T244" s="9">
        <v>88567.65</v>
      </c>
      <c r="U244" s="6">
        <v>55</v>
      </c>
      <c r="V244" t="s">
        <v>42</v>
      </c>
    </row>
    <row r="245" spans="1:22" x14ac:dyDescent="0.25">
      <c r="A245" t="s">
        <v>397</v>
      </c>
      <c r="B245" s="1">
        <v>45957</v>
      </c>
      <c r="C245" s="7">
        <f>YEAR(Table2[[#This Row],[Date]])</f>
        <v>2025</v>
      </c>
      <c r="D245" t="s">
        <v>31</v>
      </c>
      <c r="E245" t="s">
        <v>23</v>
      </c>
      <c r="F245" t="s">
        <v>24</v>
      </c>
      <c r="G245" t="b">
        <v>0</v>
      </c>
      <c r="H245" s="10">
        <v>0</v>
      </c>
      <c r="I245" s="10">
        <v>0</v>
      </c>
      <c r="J245" t="s">
        <v>39</v>
      </c>
      <c r="K245" s="9">
        <v>34869</v>
      </c>
      <c r="L245" t="s">
        <v>212</v>
      </c>
      <c r="M245" t="s">
        <v>27</v>
      </c>
      <c r="N245" s="7">
        <v>44</v>
      </c>
      <c r="O245" s="10">
        <v>0</v>
      </c>
      <c r="P245" s="7">
        <v>2</v>
      </c>
      <c r="Q245" t="s">
        <v>51</v>
      </c>
      <c r="R245" s="9">
        <v>111826</v>
      </c>
      <c r="S245" s="10">
        <v>9.41</v>
      </c>
      <c r="T245" s="9">
        <v>45684.02</v>
      </c>
      <c r="U245" s="6">
        <v>62</v>
      </c>
      <c r="V245" t="s">
        <v>42</v>
      </c>
    </row>
    <row r="246" spans="1:22" x14ac:dyDescent="0.25">
      <c r="A246" t="s">
        <v>398</v>
      </c>
      <c r="B246" s="1">
        <v>45924</v>
      </c>
      <c r="C246" s="7">
        <f>YEAR(Table2[[#This Row],[Date]])</f>
        <v>2025</v>
      </c>
      <c r="D246" t="s">
        <v>31</v>
      </c>
      <c r="E246" t="s">
        <v>37</v>
      </c>
      <c r="F246" t="s">
        <v>38</v>
      </c>
      <c r="G246" t="b">
        <v>1</v>
      </c>
      <c r="H246" s="10">
        <v>2</v>
      </c>
      <c r="I246" s="10">
        <v>0</v>
      </c>
      <c r="J246" t="s">
        <v>25</v>
      </c>
      <c r="K246" s="9">
        <v>38529</v>
      </c>
      <c r="L246" t="s">
        <v>244</v>
      </c>
      <c r="M246" t="s">
        <v>27</v>
      </c>
      <c r="N246" s="7">
        <v>95</v>
      </c>
      <c r="O246" s="10">
        <v>2</v>
      </c>
      <c r="P246" s="7">
        <v>0</v>
      </c>
      <c r="Q246" t="s">
        <v>41</v>
      </c>
      <c r="R246" s="9">
        <v>8896</v>
      </c>
      <c r="S246" s="10">
        <v>8.64</v>
      </c>
      <c r="T246" s="9">
        <v>243381.83</v>
      </c>
      <c r="U246" s="6">
        <v>38</v>
      </c>
      <c r="V246" t="s">
        <v>29</v>
      </c>
    </row>
    <row r="247" spans="1:22" x14ac:dyDescent="0.25">
      <c r="A247" t="s">
        <v>400</v>
      </c>
      <c r="B247" s="1">
        <v>45985</v>
      </c>
      <c r="C247" s="7">
        <f>YEAR(Table2[[#This Row],[Date]])</f>
        <v>2025</v>
      </c>
      <c r="D247" t="s">
        <v>97</v>
      </c>
      <c r="E247" t="s">
        <v>98</v>
      </c>
      <c r="F247" t="s">
        <v>24</v>
      </c>
      <c r="G247" t="b">
        <v>0</v>
      </c>
      <c r="H247" s="10">
        <v>2</v>
      </c>
      <c r="I247" s="10">
        <v>0</v>
      </c>
      <c r="J247" t="s">
        <v>25</v>
      </c>
      <c r="K247" s="9">
        <v>26484</v>
      </c>
      <c r="L247" t="s">
        <v>93</v>
      </c>
      <c r="M247" t="s">
        <v>61</v>
      </c>
      <c r="N247" s="7">
        <v>13</v>
      </c>
      <c r="O247" s="10">
        <v>0</v>
      </c>
      <c r="P247" s="7">
        <v>0</v>
      </c>
      <c r="Q247" t="s">
        <v>81</v>
      </c>
      <c r="R247" s="9">
        <v>121852</v>
      </c>
      <c r="S247" s="10">
        <v>9.0500000000000007</v>
      </c>
      <c r="T247" s="9">
        <v>54214.86</v>
      </c>
      <c r="U247" s="6">
        <v>56</v>
      </c>
      <c r="V247" t="s">
        <v>42</v>
      </c>
    </row>
    <row r="248" spans="1:22" x14ac:dyDescent="0.25">
      <c r="A248" t="s">
        <v>401</v>
      </c>
      <c r="B248" s="1">
        <v>45421</v>
      </c>
      <c r="C248" s="7">
        <f>YEAR(Table2[[#This Row],[Date]])</f>
        <v>2024</v>
      </c>
      <c r="D248" t="s">
        <v>22</v>
      </c>
      <c r="E248" t="s">
        <v>32</v>
      </c>
      <c r="F248" t="s">
        <v>38</v>
      </c>
      <c r="G248" t="b">
        <v>1</v>
      </c>
      <c r="H248" s="10">
        <v>4</v>
      </c>
      <c r="I248" s="10">
        <v>3</v>
      </c>
      <c r="J248" t="s">
        <v>25</v>
      </c>
      <c r="K248" s="9">
        <v>22189</v>
      </c>
      <c r="L248" t="s">
        <v>67</v>
      </c>
      <c r="M248" t="s">
        <v>50</v>
      </c>
      <c r="N248" s="7">
        <v>40</v>
      </c>
      <c r="O248" s="10">
        <v>0</v>
      </c>
      <c r="P248" s="7">
        <v>1</v>
      </c>
      <c r="Q248" t="s">
        <v>28</v>
      </c>
      <c r="R248" s="9">
        <v>65820</v>
      </c>
      <c r="S248" s="10">
        <v>6.36</v>
      </c>
      <c r="T248" s="9">
        <v>118212.87</v>
      </c>
      <c r="U248" s="6">
        <v>34</v>
      </c>
      <c r="V248" t="s">
        <v>42</v>
      </c>
    </row>
    <row r="249" spans="1:22" x14ac:dyDescent="0.25">
      <c r="A249" t="s">
        <v>403</v>
      </c>
      <c r="B249" s="1">
        <v>45425</v>
      </c>
      <c r="C249" s="7">
        <f>YEAR(Table2[[#This Row],[Date]])</f>
        <v>2024</v>
      </c>
      <c r="D249" t="s">
        <v>36</v>
      </c>
      <c r="E249" t="s">
        <v>83</v>
      </c>
      <c r="F249" t="s">
        <v>44</v>
      </c>
      <c r="G249" t="b">
        <v>0</v>
      </c>
      <c r="H249" s="10">
        <v>5</v>
      </c>
      <c r="I249" s="10">
        <v>3</v>
      </c>
      <c r="J249" t="s">
        <v>25</v>
      </c>
      <c r="K249" s="9">
        <v>30411</v>
      </c>
      <c r="L249" t="s">
        <v>135</v>
      </c>
      <c r="M249" t="s">
        <v>34</v>
      </c>
      <c r="N249" s="7">
        <v>66</v>
      </c>
      <c r="O249" s="10">
        <v>0</v>
      </c>
      <c r="P249" s="7">
        <v>0</v>
      </c>
      <c r="Q249" t="s">
        <v>62</v>
      </c>
      <c r="R249" s="9">
        <v>55608</v>
      </c>
      <c r="S249" s="10">
        <v>2.42</v>
      </c>
      <c r="T249" s="9">
        <v>61498.47</v>
      </c>
      <c r="U249" s="6">
        <v>54</v>
      </c>
      <c r="V249" t="s">
        <v>29</v>
      </c>
    </row>
    <row r="250" spans="1:22" x14ac:dyDescent="0.25">
      <c r="A250" t="s">
        <v>404</v>
      </c>
      <c r="B250" s="1">
        <v>45602</v>
      </c>
      <c r="C250" s="7">
        <f>YEAR(Table2[[#This Row],[Date]])</f>
        <v>2024</v>
      </c>
      <c r="D250" t="s">
        <v>53</v>
      </c>
      <c r="E250" t="s">
        <v>83</v>
      </c>
      <c r="F250" t="s">
        <v>38</v>
      </c>
      <c r="G250" t="b">
        <v>1</v>
      </c>
      <c r="H250" s="10">
        <v>0</v>
      </c>
      <c r="I250" s="10">
        <v>1</v>
      </c>
      <c r="J250" t="s">
        <v>54</v>
      </c>
      <c r="K250" s="9">
        <v>6062</v>
      </c>
      <c r="L250" t="s">
        <v>143</v>
      </c>
      <c r="M250" t="s">
        <v>34</v>
      </c>
      <c r="N250" s="7">
        <v>19</v>
      </c>
      <c r="O250" s="10">
        <v>2</v>
      </c>
      <c r="P250" s="7">
        <v>2</v>
      </c>
      <c r="Q250" t="s">
        <v>87</v>
      </c>
      <c r="R250" s="9">
        <v>142232</v>
      </c>
      <c r="S250" s="10">
        <v>9.09</v>
      </c>
      <c r="T250" s="9">
        <v>152676.79</v>
      </c>
      <c r="U250" s="6">
        <v>51</v>
      </c>
      <c r="V250" t="s">
        <v>29</v>
      </c>
    </row>
    <row r="251" spans="1:22" x14ac:dyDescent="0.25">
      <c r="A251" t="s">
        <v>405</v>
      </c>
      <c r="B251" s="1">
        <v>45875</v>
      </c>
      <c r="C251" s="7">
        <f>YEAR(Table2[[#This Row],[Date]])</f>
        <v>2025</v>
      </c>
      <c r="D251" t="s">
        <v>31</v>
      </c>
      <c r="E251" t="s">
        <v>72</v>
      </c>
      <c r="F251" t="s">
        <v>24</v>
      </c>
      <c r="G251" t="b">
        <v>1</v>
      </c>
      <c r="H251" s="10">
        <v>3</v>
      </c>
      <c r="I251" s="10">
        <v>3</v>
      </c>
      <c r="J251" t="s">
        <v>39</v>
      </c>
      <c r="K251" s="9">
        <v>26961</v>
      </c>
      <c r="L251" t="s">
        <v>358</v>
      </c>
      <c r="M251" t="s">
        <v>27</v>
      </c>
      <c r="N251" s="7">
        <v>38</v>
      </c>
      <c r="O251" s="10">
        <v>2</v>
      </c>
      <c r="P251" s="7">
        <v>2</v>
      </c>
      <c r="Q251" t="s">
        <v>62</v>
      </c>
      <c r="R251" s="9">
        <v>99751</v>
      </c>
      <c r="S251" s="10">
        <v>1.19</v>
      </c>
      <c r="T251" s="9">
        <v>141448.18</v>
      </c>
      <c r="U251" s="6">
        <v>61</v>
      </c>
      <c r="V251" t="s">
        <v>42</v>
      </c>
    </row>
    <row r="252" spans="1:22" x14ac:dyDescent="0.25">
      <c r="A252" t="s">
        <v>406</v>
      </c>
      <c r="B252" s="1">
        <v>45890</v>
      </c>
      <c r="C252" s="7">
        <f>YEAR(Table2[[#This Row],[Date]])</f>
        <v>2025</v>
      </c>
      <c r="D252" t="s">
        <v>36</v>
      </c>
      <c r="E252" t="s">
        <v>66</v>
      </c>
      <c r="F252" t="s">
        <v>24</v>
      </c>
      <c r="G252" t="b">
        <v>1</v>
      </c>
      <c r="H252" s="10">
        <v>0</v>
      </c>
      <c r="I252" s="10">
        <v>3</v>
      </c>
      <c r="J252" t="s">
        <v>54</v>
      </c>
      <c r="K252" s="9">
        <v>12451</v>
      </c>
      <c r="L252" t="s">
        <v>75</v>
      </c>
      <c r="M252" t="s">
        <v>34</v>
      </c>
      <c r="N252" s="7">
        <v>26</v>
      </c>
      <c r="O252" s="10">
        <v>0</v>
      </c>
      <c r="P252" s="7">
        <v>0</v>
      </c>
      <c r="Q252" t="s">
        <v>46</v>
      </c>
      <c r="R252" s="9">
        <v>8452</v>
      </c>
      <c r="S252" s="10">
        <v>7.42</v>
      </c>
      <c r="T252" s="9">
        <v>179372.24</v>
      </c>
      <c r="U252" s="6">
        <v>60</v>
      </c>
      <c r="V252" t="s">
        <v>42</v>
      </c>
    </row>
    <row r="253" spans="1:22" x14ac:dyDescent="0.25">
      <c r="A253" t="s">
        <v>407</v>
      </c>
      <c r="B253" s="1">
        <v>45687</v>
      </c>
      <c r="C253" s="7">
        <f>YEAR(Table2[[#This Row],[Date]])</f>
        <v>2025</v>
      </c>
      <c r="D253" t="s">
        <v>22</v>
      </c>
      <c r="E253" t="s">
        <v>98</v>
      </c>
      <c r="F253" t="s">
        <v>44</v>
      </c>
      <c r="G253" t="b">
        <v>0</v>
      </c>
      <c r="H253" s="10">
        <v>2</v>
      </c>
      <c r="I253" s="10">
        <v>4</v>
      </c>
      <c r="J253" t="s">
        <v>54</v>
      </c>
      <c r="K253" s="9">
        <v>18247</v>
      </c>
      <c r="L253" t="s">
        <v>109</v>
      </c>
      <c r="M253" t="s">
        <v>34</v>
      </c>
      <c r="N253" s="7">
        <v>64</v>
      </c>
      <c r="O253" s="10">
        <v>0</v>
      </c>
      <c r="P253" s="7">
        <v>1</v>
      </c>
      <c r="Q253" t="s">
        <v>51</v>
      </c>
      <c r="R253" s="9">
        <v>128592</v>
      </c>
      <c r="S253" s="10">
        <v>4.9000000000000004</v>
      </c>
      <c r="T253" s="9">
        <v>166756.07999999999</v>
      </c>
      <c r="U253" s="6">
        <v>46</v>
      </c>
      <c r="V253" t="s">
        <v>29</v>
      </c>
    </row>
    <row r="254" spans="1:22" x14ac:dyDescent="0.25">
      <c r="A254" t="s">
        <v>408</v>
      </c>
      <c r="B254" s="1">
        <v>45596</v>
      </c>
      <c r="C254" s="7">
        <f>YEAR(Table2[[#This Row],[Date]])</f>
        <v>2024</v>
      </c>
      <c r="D254" t="s">
        <v>69</v>
      </c>
      <c r="E254" t="s">
        <v>32</v>
      </c>
      <c r="F254" t="s">
        <v>44</v>
      </c>
      <c r="G254" t="b">
        <v>1</v>
      </c>
      <c r="H254" s="10">
        <v>4</v>
      </c>
      <c r="I254" s="10">
        <v>0</v>
      </c>
      <c r="J254" t="s">
        <v>25</v>
      </c>
      <c r="K254" s="9">
        <v>17704</v>
      </c>
      <c r="L254" t="s">
        <v>341</v>
      </c>
      <c r="M254" t="s">
        <v>61</v>
      </c>
      <c r="N254" s="7">
        <v>20</v>
      </c>
      <c r="O254" s="10">
        <v>0</v>
      </c>
      <c r="P254" s="7">
        <v>0</v>
      </c>
      <c r="Q254" t="s">
        <v>46</v>
      </c>
      <c r="R254" s="9">
        <v>46624</v>
      </c>
      <c r="S254" s="10">
        <v>8.7799999999999994</v>
      </c>
      <c r="T254" s="9">
        <v>13288.34</v>
      </c>
      <c r="U254" s="6">
        <v>55</v>
      </c>
      <c r="V254" t="s">
        <v>29</v>
      </c>
    </row>
    <row r="255" spans="1:22" x14ac:dyDescent="0.25">
      <c r="A255" t="s">
        <v>409</v>
      </c>
      <c r="B255" s="1">
        <v>45901</v>
      </c>
      <c r="C255" s="7">
        <f>YEAR(Table2[[#This Row],[Date]])</f>
        <v>2025</v>
      </c>
      <c r="D255" t="s">
        <v>97</v>
      </c>
      <c r="E255" t="s">
        <v>66</v>
      </c>
      <c r="F255" t="s">
        <v>44</v>
      </c>
      <c r="G255" t="b">
        <v>1</v>
      </c>
      <c r="H255" s="10">
        <v>4</v>
      </c>
      <c r="I255" s="10">
        <v>1</v>
      </c>
      <c r="J255" t="s">
        <v>25</v>
      </c>
      <c r="K255" s="9">
        <v>40835</v>
      </c>
      <c r="L255" t="s">
        <v>129</v>
      </c>
      <c r="M255" t="s">
        <v>34</v>
      </c>
      <c r="N255" s="7">
        <v>60</v>
      </c>
      <c r="O255" s="10">
        <v>0</v>
      </c>
      <c r="P255" s="7">
        <v>0</v>
      </c>
      <c r="Q255" t="s">
        <v>41</v>
      </c>
      <c r="R255" s="9">
        <v>113422</v>
      </c>
      <c r="S255" s="10">
        <v>8.8800000000000008</v>
      </c>
      <c r="T255" s="9">
        <v>149022.60999999999</v>
      </c>
      <c r="U255" s="6">
        <v>54</v>
      </c>
      <c r="V255" t="s">
        <v>42</v>
      </c>
    </row>
    <row r="256" spans="1:22" x14ac:dyDescent="0.25">
      <c r="A256" t="s">
        <v>410</v>
      </c>
      <c r="B256" s="1">
        <v>45503</v>
      </c>
      <c r="C256" s="7">
        <f>YEAR(Table2[[#This Row],[Date]])</f>
        <v>2024</v>
      </c>
      <c r="D256" t="s">
        <v>77</v>
      </c>
      <c r="E256" t="s">
        <v>37</v>
      </c>
      <c r="F256" t="s">
        <v>44</v>
      </c>
      <c r="G256" t="b">
        <v>0</v>
      </c>
      <c r="H256" s="10">
        <v>2</v>
      </c>
      <c r="I256" s="10">
        <v>1</v>
      </c>
      <c r="J256" t="s">
        <v>25</v>
      </c>
      <c r="K256" s="9">
        <v>36179</v>
      </c>
      <c r="L256" t="s">
        <v>149</v>
      </c>
      <c r="M256" t="s">
        <v>34</v>
      </c>
      <c r="N256" s="7">
        <v>44</v>
      </c>
      <c r="O256" s="10">
        <v>0</v>
      </c>
      <c r="P256" s="7">
        <v>0</v>
      </c>
      <c r="Q256" t="s">
        <v>62</v>
      </c>
      <c r="R256" s="9">
        <v>87199</v>
      </c>
      <c r="S256" s="10">
        <v>8.01</v>
      </c>
      <c r="T256" s="9">
        <v>216613.53</v>
      </c>
      <c r="U256" s="6">
        <v>18</v>
      </c>
      <c r="V256" t="s">
        <v>29</v>
      </c>
    </row>
    <row r="257" spans="1:22" x14ac:dyDescent="0.25">
      <c r="A257" t="s">
        <v>411</v>
      </c>
      <c r="B257" s="1">
        <v>45405</v>
      </c>
      <c r="C257" s="7">
        <f>YEAR(Table2[[#This Row],[Date]])</f>
        <v>2024</v>
      </c>
      <c r="D257" t="s">
        <v>97</v>
      </c>
      <c r="E257" t="s">
        <v>83</v>
      </c>
      <c r="F257" t="s">
        <v>24</v>
      </c>
      <c r="G257" t="b">
        <v>1</v>
      </c>
      <c r="H257" s="10">
        <v>1</v>
      </c>
      <c r="I257" s="10">
        <v>1</v>
      </c>
      <c r="J257" t="s">
        <v>39</v>
      </c>
      <c r="K257" s="9">
        <v>50533</v>
      </c>
      <c r="L257" t="s">
        <v>289</v>
      </c>
      <c r="M257" t="s">
        <v>61</v>
      </c>
      <c r="N257" s="7">
        <v>74</v>
      </c>
      <c r="O257" s="10">
        <v>1</v>
      </c>
      <c r="P257" s="7">
        <v>2</v>
      </c>
      <c r="Q257" t="s">
        <v>87</v>
      </c>
      <c r="R257" s="9">
        <v>50485</v>
      </c>
      <c r="S257" s="10">
        <v>5.93</v>
      </c>
      <c r="T257" s="9">
        <v>51826.38</v>
      </c>
      <c r="U257" s="6">
        <v>22</v>
      </c>
      <c r="V257" t="s">
        <v>29</v>
      </c>
    </row>
    <row r="258" spans="1:22" x14ac:dyDescent="0.25">
      <c r="A258" t="s">
        <v>412</v>
      </c>
      <c r="B258" s="1">
        <v>45616</v>
      </c>
      <c r="C258" s="7">
        <f>YEAR(Table2[[#This Row],[Date]])</f>
        <v>2024</v>
      </c>
      <c r="D258" t="s">
        <v>22</v>
      </c>
      <c r="E258" t="s">
        <v>66</v>
      </c>
      <c r="F258" t="s">
        <v>24</v>
      </c>
      <c r="G258" t="b">
        <v>0</v>
      </c>
      <c r="H258" s="10">
        <v>5</v>
      </c>
      <c r="I258" s="10">
        <v>2</v>
      </c>
      <c r="J258" t="s">
        <v>25</v>
      </c>
      <c r="K258" s="9">
        <v>8469</v>
      </c>
      <c r="L258" t="s">
        <v>86</v>
      </c>
      <c r="M258" t="s">
        <v>34</v>
      </c>
      <c r="N258" s="7">
        <v>49</v>
      </c>
      <c r="O258" s="10">
        <v>2</v>
      </c>
      <c r="P258" s="7">
        <v>0</v>
      </c>
      <c r="Q258" t="s">
        <v>46</v>
      </c>
      <c r="R258" s="9">
        <v>140009</v>
      </c>
      <c r="S258" s="10">
        <v>5.56</v>
      </c>
      <c r="T258" s="9">
        <v>165170.62</v>
      </c>
      <c r="U258" s="6">
        <v>19</v>
      </c>
      <c r="V258" t="s">
        <v>29</v>
      </c>
    </row>
    <row r="259" spans="1:22" x14ac:dyDescent="0.25">
      <c r="A259" t="s">
        <v>413</v>
      </c>
      <c r="B259" s="1">
        <v>45535</v>
      </c>
      <c r="C259" s="7">
        <f>YEAR(Table2[[#This Row],[Date]])</f>
        <v>2024</v>
      </c>
      <c r="D259" t="s">
        <v>69</v>
      </c>
      <c r="E259" t="s">
        <v>98</v>
      </c>
      <c r="F259" t="s">
        <v>44</v>
      </c>
      <c r="G259" t="b">
        <v>1</v>
      </c>
      <c r="H259" s="10">
        <v>5</v>
      </c>
      <c r="I259" s="10">
        <v>1</v>
      </c>
      <c r="J259" t="s">
        <v>25</v>
      </c>
      <c r="K259" s="9">
        <v>25334</v>
      </c>
      <c r="L259" t="s">
        <v>80</v>
      </c>
      <c r="M259" t="s">
        <v>61</v>
      </c>
      <c r="N259" s="7">
        <v>27</v>
      </c>
      <c r="O259" s="10">
        <v>1</v>
      </c>
      <c r="P259" s="7">
        <v>2</v>
      </c>
      <c r="Q259" t="s">
        <v>51</v>
      </c>
      <c r="R259" s="9">
        <v>48992</v>
      </c>
      <c r="S259" s="10">
        <v>4.7699999999999996</v>
      </c>
      <c r="T259" s="9">
        <v>209787.4</v>
      </c>
      <c r="U259" s="6">
        <v>18</v>
      </c>
      <c r="V259" t="s">
        <v>29</v>
      </c>
    </row>
    <row r="260" spans="1:22" x14ac:dyDescent="0.25">
      <c r="A260" t="s">
        <v>414</v>
      </c>
      <c r="B260" s="1">
        <v>46004</v>
      </c>
      <c r="C260" s="7">
        <f>YEAR(Table2[[#This Row],[Date]])</f>
        <v>2025</v>
      </c>
      <c r="D260" t="s">
        <v>69</v>
      </c>
      <c r="E260" t="s">
        <v>66</v>
      </c>
      <c r="F260" t="s">
        <v>44</v>
      </c>
      <c r="G260" t="b">
        <v>1</v>
      </c>
      <c r="H260" s="10">
        <v>5</v>
      </c>
      <c r="I260" s="10">
        <v>4</v>
      </c>
      <c r="J260" t="s">
        <v>25</v>
      </c>
      <c r="K260" s="9">
        <v>32140</v>
      </c>
      <c r="L260" t="s">
        <v>296</v>
      </c>
      <c r="M260" t="s">
        <v>61</v>
      </c>
      <c r="N260" s="7">
        <v>69</v>
      </c>
      <c r="O260" s="10">
        <v>2</v>
      </c>
      <c r="P260" s="7">
        <v>0</v>
      </c>
      <c r="Q260" t="s">
        <v>81</v>
      </c>
      <c r="R260" s="9">
        <v>20944</v>
      </c>
      <c r="S260" s="10">
        <v>6.65</v>
      </c>
      <c r="T260" s="9">
        <v>240052.86</v>
      </c>
      <c r="U260" s="6">
        <v>30</v>
      </c>
      <c r="V260" t="s">
        <v>29</v>
      </c>
    </row>
    <row r="261" spans="1:22" x14ac:dyDescent="0.25">
      <c r="A261" t="s">
        <v>415</v>
      </c>
      <c r="B261" s="1">
        <v>45736</v>
      </c>
      <c r="C261" s="7">
        <f>YEAR(Table2[[#This Row],[Date]])</f>
        <v>2025</v>
      </c>
      <c r="D261" t="s">
        <v>69</v>
      </c>
      <c r="E261" t="s">
        <v>83</v>
      </c>
      <c r="F261" t="s">
        <v>38</v>
      </c>
      <c r="G261" t="b">
        <v>1</v>
      </c>
      <c r="H261" s="10">
        <v>2</v>
      </c>
      <c r="I261" s="10">
        <v>2</v>
      </c>
      <c r="J261" t="s">
        <v>39</v>
      </c>
      <c r="K261" s="9">
        <v>52242</v>
      </c>
      <c r="L261" t="s">
        <v>166</v>
      </c>
      <c r="M261" t="s">
        <v>50</v>
      </c>
      <c r="N261" s="7">
        <v>34</v>
      </c>
      <c r="O261" s="10">
        <v>1</v>
      </c>
      <c r="P261" s="7">
        <v>2</v>
      </c>
      <c r="Q261" t="s">
        <v>62</v>
      </c>
      <c r="R261" s="9">
        <v>59599</v>
      </c>
      <c r="S261" s="10">
        <v>0.97</v>
      </c>
      <c r="T261" s="9">
        <v>81756.899999999994</v>
      </c>
      <c r="U261" s="6">
        <v>64</v>
      </c>
      <c r="V261" t="s">
        <v>29</v>
      </c>
    </row>
    <row r="262" spans="1:22" x14ac:dyDescent="0.25">
      <c r="A262" t="s">
        <v>416</v>
      </c>
      <c r="B262" s="1">
        <v>45988</v>
      </c>
      <c r="C262" s="7">
        <f>YEAR(Table2[[#This Row],[Date]])</f>
        <v>2025</v>
      </c>
      <c r="D262" t="s">
        <v>53</v>
      </c>
      <c r="E262" t="s">
        <v>37</v>
      </c>
      <c r="F262" t="s">
        <v>44</v>
      </c>
      <c r="G262" t="b">
        <v>0</v>
      </c>
      <c r="H262" s="10">
        <v>1</v>
      </c>
      <c r="I262" s="10">
        <v>3</v>
      </c>
      <c r="J262" t="s">
        <v>54</v>
      </c>
      <c r="K262" s="9">
        <v>46179</v>
      </c>
      <c r="L262" t="s">
        <v>49</v>
      </c>
      <c r="M262" t="s">
        <v>34</v>
      </c>
      <c r="N262" s="7">
        <v>33</v>
      </c>
      <c r="O262" s="10">
        <v>0</v>
      </c>
      <c r="P262" s="7">
        <v>0</v>
      </c>
      <c r="Q262" t="s">
        <v>62</v>
      </c>
      <c r="R262" s="9">
        <v>133384</v>
      </c>
      <c r="S262" s="10">
        <v>7.82</v>
      </c>
      <c r="T262" s="9">
        <v>190651.45</v>
      </c>
      <c r="U262" s="6">
        <v>53</v>
      </c>
      <c r="V262" t="s">
        <v>29</v>
      </c>
    </row>
    <row r="263" spans="1:22" x14ac:dyDescent="0.25">
      <c r="A263" t="s">
        <v>417</v>
      </c>
      <c r="B263" s="1">
        <v>45989</v>
      </c>
      <c r="C263" s="7">
        <f>YEAR(Table2[[#This Row],[Date]])</f>
        <v>2025</v>
      </c>
      <c r="D263" t="s">
        <v>36</v>
      </c>
      <c r="E263" t="s">
        <v>23</v>
      </c>
      <c r="F263" t="s">
        <v>24</v>
      </c>
      <c r="G263" t="b">
        <v>0</v>
      </c>
      <c r="H263" s="10">
        <v>0</v>
      </c>
      <c r="I263" s="10">
        <v>1</v>
      </c>
      <c r="J263" t="s">
        <v>54</v>
      </c>
      <c r="K263" s="9">
        <v>30054</v>
      </c>
      <c r="L263" t="s">
        <v>163</v>
      </c>
      <c r="M263" t="s">
        <v>27</v>
      </c>
      <c r="N263" s="7">
        <v>24</v>
      </c>
      <c r="O263" s="10">
        <v>0</v>
      </c>
      <c r="P263" s="7">
        <v>2</v>
      </c>
      <c r="Q263" t="s">
        <v>46</v>
      </c>
      <c r="R263" s="9">
        <v>56425</v>
      </c>
      <c r="S263" s="10">
        <v>2.99</v>
      </c>
      <c r="T263" s="9">
        <v>81740.37</v>
      </c>
      <c r="U263" s="6">
        <v>46</v>
      </c>
      <c r="V263" t="s">
        <v>42</v>
      </c>
    </row>
    <row r="264" spans="1:22" x14ac:dyDescent="0.25">
      <c r="A264" t="s">
        <v>418</v>
      </c>
      <c r="B264" s="1">
        <v>45297</v>
      </c>
      <c r="C264" s="7">
        <f>YEAR(Table2[[#This Row],[Date]])</f>
        <v>2024</v>
      </c>
      <c r="D264" t="s">
        <v>69</v>
      </c>
      <c r="E264" t="s">
        <v>37</v>
      </c>
      <c r="F264" t="s">
        <v>24</v>
      </c>
      <c r="G264" t="b">
        <v>0</v>
      </c>
      <c r="H264" s="10">
        <v>3</v>
      </c>
      <c r="I264" s="10">
        <v>3</v>
      </c>
      <c r="J264" t="s">
        <v>39</v>
      </c>
      <c r="K264" s="9">
        <v>46067</v>
      </c>
      <c r="L264" t="s">
        <v>135</v>
      </c>
      <c r="M264" t="s">
        <v>61</v>
      </c>
      <c r="N264" s="7">
        <v>94</v>
      </c>
      <c r="O264" s="10">
        <v>1</v>
      </c>
      <c r="P264" s="7">
        <v>0</v>
      </c>
      <c r="Q264" t="s">
        <v>41</v>
      </c>
      <c r="R264" s="9">
        <v>132848</v>
      </c>
      <c r="S264" s="10">
        <v>9.19</v>
      </c>
      <c r="T264" s="9">
        <v>84938.41</v>
      </c>
      <c r="U264" s="6">
        <v>40</v>
      </c>
      <c r="V264" t="s">
        <v>29</v>
      </c>
    </row>
    <row r="265" spans="1:22" x14ac:dyDescent="0.25">
      <c r="A265" t="s">
        <v>419</v>
      </c>
      <c r="B265" s="1">
        <v>45646</v>
      </c>
      <c r="C265" s="7">
        <f>YEAR(Table2[[#This Row],[Date]])</f>
        <v>2024</v>
      </c>
      <c r="D265" t="s">
        <v>77</v>
      </c>
      <c r="E265" t="s">
        <v>83</v>
      </c>
      <c r="F265" t="s">
        <v>38</v>
      </c>
      <c r="G265" t="b">
        <v>1</v>
      </c>
      <c r="H265" s="10">
        <v>0</v>
      </c>
      <c r="I265" s="10">
        <v>1</v>
      </c>
      <c r="J265" t="s">
        <v>54</v>
      </c>
      <c r="K265" s="9">
        <v>7467</v>
      </c>
      <c r="L265" t="s">
        <v>111</v>
      </c>
      <c r="M265" t="s">
        <v>61</v>
      </c>
      <c r="N265" s="7">
        <v>24</v>
      </c>
      <c r="O265" s="10">
        <v>0</v>
      </c>
      <c r="P265" s="7">
        <v>0</v>
      </c>
      <c r="Q265" t="s">
        <v>51</v>
      </c>
      <c r="R265" s="9">
        <v>101585</v>
      </c>
      <c r="S265" s="10">
        <v>1.78</v>
      </c>
      <c r="T265" s="9">
        <v>7736.32</v>
      </c>
      <c r="U265" s="6">
        <v>57</v>
      </c>
      <c r="V265" t="s">
        <v>29</v>
      </c>
    </row>
    <row r="266" spans="1:22" x14ac:dyDescent="0.25">
      <c r="A266" t="s">
        <v>420</v>
      </c>
      <c r="B266" s="1">
        <v>45910</v>
      </c>
      <c r="C266" s="7">
        <f>YEAR(Table2[[#This Row],[Date]])</f>
        <v>2025</v>
      </c>
      <c r="D266" t="s">
        <v>69</v>
      </c>
      <c r="E266" t="s">
        <v>48</v>
      </c>
      <c r="F266" t="s">
        <v>44</v>
      </c>
      <c r="G266" t="b">
        <v>0</v>
      </c>
      <c r="H266" s="10">
        <v>3</v>
      </c>
      <c r="I266" s="10">
        <v>4</v>
      </c>
      <c r="J266" t="s">
        <v>54</v>
      </c>
      <c r="K266" s="9">
        <v>54282</v>
      </c>
      <c r="L266" t="s">
        <v>188</v>
      </c>
      <c r="M266" t="s">
        <v>27</v>
      </c>
      <c r="N266" s="7">
        <v>55</v>
      </c>
      <c r="O266" s="10">
        <v>1</v>
      </c>
      <c r="P266" s="7">
        <v>1</v>
      </c>
      <c r="Q266" t="s">
        <v>81</v>
      </c>
      <c r="R266" s="9">
        <v>47125</v>
      </c>
      <c r="S266" s="10">
        <v>1.72</v>
      </c>
      <c r="T266" s="9">
        <v>184947.6</v>
      </c>
      <c r="U266" s="6">
        <v>55</v>
      </c>
      <c r="V266" t="s">
        <v>29</v>
      </c>
    </row>
    <row r="267" spans="1:22" x14ac:dyDescent="0.25">
      <c r="A267" t="s">
        <v>421</v>
      </c>
      <c r="B267" s="1">
        <v>45703</v>
      </c>
      <c r="C267" s="7">
        <f>YEAR(Table2[[#This Row],[Date]])</f>
        <v>2025</v>
      </c>
      <c r="D267" t="s">
        <v>89</v>
      </c>
      <c r="E267" t="s">
        <v>32</v>
      </c>
      <c r="F267" t="s">
        <v>38</v>
      </c>
      <c r="G267" t="b">
        <v>1</v>
      </c>
      <c r="H267" s="10">
        <v>5</v>
      </c>
      <c r="I267" s="10">
        <v>4</v>
      </c>
      <c r="J267" t="s">
        <v>25</v>
      </c>
      <c r="K267" s="9">
        <v>53028</v>
      </c>
      <c r="L267" t="s">
        <v>212</v>
      </c>
      <c r="M267" t="s">
        <v>61</v>
      </c>
      <c r="N267" s="7">
        <v>80</v>
      </c>
      <c r="O267" s="10">
        <v>1</v>
      </c>
      <c r="P267" s="7">
        <v>2</v>
      </c>
      <c r="Q267" t="s">
        <v>62</v>
      </c>
      <c r="R267" s="9">
        <v>3805</v>
      </c>
      <c r="S267" s="10">
        <v>2.78</v>
      </c>
      <c r="T267" s="9">
        <v>8096.37</v>
      </c>
      <c r="U267" s="6">
        <v>21</v>
      </c>
      <c r="V267" t="s">
        <v>42</v>
      </c>
    </row>
    <row r="268" spans="1:22" x14ac:dyDescent="0.25">
      <c r="A268" t="s">
        <v>422</v>
      </c>
      <c r="B268" s="1">
        <v>45586</v>
      </c>
      <c r="C268" s="7">
        <f>YEAR(Table2[[#This Row],[Date]])</f>
        <v>2024</v>
      </c>
      <c r="D268" t="s">
        <v>36</v>
      </c>
      <c r="E268" t="s">
        <v>23</v>
      </c>
      <c r="F268" t="s">
        <v>44</v>
      </c>
      <c r="G268" t="b">
        <v>0</v>
      </c>
      <c r="H268" s="10">
        <v>1</v>
      </c>
      <c r="I268" s="10">
        <v>3</v>
      </c>
      <c r="J268" t="s">
        <v>54</v>
      </c>
      <c r="K268" s="9">
        <v>54349</v>
      </c>
      <c r="L268" t="s">
        <v>251</v>
      </c>
      <c r="M268" t="s">
        <v>34</v>
      </c>
      <c r="N268" s="7">
        <v>16</v>
      </c>
      <c r="O268" s="10">
        <v>1</v>
      </c>
      <c r="P268" s="7">
        <v>0</v>
      </c>
      <c r="Q268" t="s">
        <v>81</v>
      </c>
      <c r="R268" s="9">
        <v>96280</v>
      </c>
      <c r="S268" s="10">
        <v>1.07</v>
      </c>
      <c r="T268" s="9">
        <v>194627.39</v>
      </c>
      <c r="U268" s="6">
        <v>43</v>
      </c>
      <c r="V268" t="s">
        <v>42</v>
      </c>
    </row>
    <row r="269" spans="1:22" x14ac:dyDescent="0.25">
      <c r="A269" t="s">
        <v>423</v>
      </c>
      <c r="B269" s="1">
        <v>45655</v>
      </c>
      <c r="C269" s="7">
        <f>YEAR(Table2[[#This Row],[Date]])</f>
        <v>2024</v>
      </c>
      <c r="D269" t="s">
        <v>97</v>
      </c>
      <c r="E269" t="s">
        <v>48</v>
      </c>
      <c r="F269" t="s">
        <v>44</v>
      </c>
      <c r="G269" t="b">
        <v>1</v>
      </c>
      <c r="H269" s="10">
        <v>1</v>
      </c>
      <c r="I269" s="10">
        <v>3</v>
      </c>
      <c r="J269" t="s">
        <v>54</v>
      </c>
      <c r="K269" s="9">
        <v>23813</v>
      </c>
      <c r="L269" t="s">
        <v>253</v>
      </c>
      <c r="M269" t="s">
        <v>27</v>
      </c>
      <c r="N269" s="7">
        <v>14</v>
      </c>
      <c r="O269" s="10">
        <v>2</v>
      </c>
      <c r="P269" s="7">
        <v>0</v>
      </c>
      <c r="Q269" t="s">
        <v>46</v>
      </c>
      <c r="R269" s="9">
        <v>43276</v>
      </c>
      <c r="S269" s="10">
        <v>3.63</v>
      </c>
      <c r="T269" s="9">
        <v>220755.33</v>
      </c>
      <c r="U269" s="6">
        <v>35</v>
      </c>
      <c r="V269" t="s">
        <v>42</v>
      </c>
    </row>
    <row r="270" spans="1:22" x14ac:dyDescent="0.25">
      <c r="A270" t="s">
        <v>425</v>
      </c>
      <c r="B270" s="1">
        <v>45834</v>
      </c>
      <c r="C270" s="7">
        <f>YEAR(Table2[[#This Row],[Date]])</f>
        <v>2025</v>
      </c>
      <c r="D270" t="s">
        <v>97</v>
      </c>
      <c r="E270" t="s">
        <v>23</v>
      </c>
      <c r="F270" t="s">
        <v>44</v>
      </c>
      <c r="G270" t="b">
        <v>0</v>
      </c>
      <c r="H270" s="10">
        <v>0</v>
      </c>
      <c r="I270" s="10">
        <v>2</v>
      </c>
      <c r="J270" t="s">
        <v>54</v>
      </c>
      <c r="K270" s="9">
        <v>27407</v>
      </c>
      <c r="L270" t="s">
        <v>143</v>
      </c>
      <c r="M270" t="s">
        <v>34</v>
      </c>
      <c r="N270" s="7">
        <v>27</v>
      </c>
      <c r="O270" s="10">
        <v>0</v>
      </c>
      <c r="P270" s="7">
        <v>1</v>
      </c>
      <c r="Q270" t="s">
        <v>81</v>
      </c>
      <c r="R270" s="9">
        <v>97334</v>
      </c>
      <c r="S270" s="10">
        <v>3.51</v>
      </c>
      <c r="T270" s="9">
        <v>28329.29</v>
      </c>
      <c r="U270" s="6">
        <v>64</v>
      </c>
      <c r="V270" t="s">
        <v>29</v>
      </c>
    </row>
    <row r="271" spans="1:22" x14ac:dyDescent="0.25">
      <c r="A271" t="s">
        <v>426</v>
      </c>
      <c r="B271" s="1">
        <v>45743</v>
      </c>
      <c r="C271" s="7">
        <f>YEAR(Table2[[#This Row],[Date]])</f>
        <v>2025</v>
      </c>
      <c r="D271" t="s">
        <v>77</v>
      </c>
      <c r="E271" t="s">
        <v>83</v>
      </c>
      <c r="F271" t="s">
        <v>38</v>
      </c>
      <c r="G271" t="b">
        <v>0</v>
      </c>
      <c r="H271" s="10">
        <v>5</v>
      </c>
      <c r="I271" s="10">
        <v>0</v>
      </c>
      <c r="J271" t="s">
        <v>25</v>
      </c>
      <c r="K271" s="9">
        <v>47054</v>
      </c>
      <c r="L271" t="s">
        <v>399</v>
      </c>
      <c r="M271" t="s">
        <v>61</v>
      </c>
      <c r="N271" s="7">
        <v>36</v>
      </c>
      <c r="O271" s="10">
        <v>1</v>
      </c>
      <c r="P271" s="7">
        <v>0</v>
      </c>
      <c r="Q271" t="s">
        <v>51</v>
      </c>
      <c r="R271" s="9">
        <v>14003</v>
      </c>
      <c r="S271" s="10">
        <v>5.79</v>
      </c>
      <c r="T271" s="9">
        <v>146565.51</v>
      </c>
      <c r="U271" s="6">
        <v>35</v>
      </c>
      <c r="V271" t="s">
        <v>42</v>
      </c>
    </row>
    <row r="272" spans="1:22" x14ac:dyDescent="0.25">
      <c r="A272" t="s">
        <v>427</v>
      </c>
      <c r="B272" s="1">
        <v>45517</v>
      </c>
      <c r="C272" s="7">
        <f>YEAR(Table2[[#This Row],[Date]])</f>
        <v>2024</v>
      </c>
      <c r="D272" t="s">
        <v>22</v>
      </c>
      <c r="E272" t="s">
        <v>83</v>
      </c>
      <c r="F272" t="s">
        <v>24</v>
      </c>
      <c r="G272" t="b">
        <v>0</v>
      </c>
      <c r="H272" s="10">
        <v>4</v>
      </c>
      <c r="I272" s="10">
        <v>2</v>
      </c>
      <c r="J272" t="s">
        <v>25</v>
      </c>
      <c r="K272" s="9">
        <v>50758</v>
      </c>
      <c r="L272" t="s">
        <v>133</v>
      </c>
      <c r="M272" t="s">
        <v>50</v>
      </c>
      <c r="N272" s="7">
        <v>51</v>
      </c>
      <c r="O272" s="10">
        <v>1</v>
      </c>
      <c r="P272" s="7">
        <v>0</v>
      </c>
      <c r="Q272" t="s">
        <v>87</v>
      </c>
      <c r="R272" s="9">
        <v>130290</v>
      </c>
      <c r="S272" s="10">
        <v>4.26</v>
      </c>
      <c r="T272" s="9">
        <v>128430.19</v>
      </c>
      <c r="U272" s="6">
        <v>19</v>
      </c>
      <c r="V272" t="s">
        <v>42</v>
      </c>
    </row>
    <row r="273" spans="1:22" x14ac:dyDescent="0.25">
      <c r="A273" t="s">
        <v>428</v>
      </c>
      <c r="B273" s="1">
        <v>45430</v>
      </c>
      <c r="C273" s="7">
        <f>YEAR(Table2[[#This Row],[Date]])</f>
        <v>2024</v>
      </c>
      <c r="D273" t="s">
        <v>77</v>
      </c>
      <c r="E273" t="s">
        <v>83</v>
      </c>
      <c r="F273" t="s">
        <v>44</v>
      </c>
      <c r="G273" t="b">
        <v>1</v>
      </c>
      <c r="H273" s="10">
        <v>0</v>
      </c>
      <c r="I273" s="10">
        <v>0</v>
      </c>
      <c r="J273" t="s">
        <v>39</v>
      </c>
      <c r="K273" s="9">
        <v>37773</v>
      </c>
      <c r="L273" t="s">
        <v>327</v>
      </c>
      <c r="M273" t="s">
        <v>27</v>
      </c>
      <c r="N273" s="7">
        <v>17</v>
      </c>
      <c r="O273" s="10">
        <v>2</v>
      </c>
      <c r="P273" s="7">
        <v>2</v>
      </c>
      <c r="Q273" t="s">
        <v>87</v>
      </c>
      <c r="R273" s="9">
        <v>116405</v>
      </c>
      <c r="S273" s="10">
        <v>3.1</v>
      </c>
      <c r="T273" s="9">
        <v>122754.95</v>
      </c>
      <c r="U273" s="6">
        <v>55</v>
      </c>
      <c r="V273" t="s">
        <v>42</v>
      </c>
    </row>
    <row r="274" spans="1:22" x14ac:dyDescent="0.25">
      <c r="A274" t="s">
        <v>429</v>
      </c>
      <c r="B274" s="1">
        <v>45799</v>
      </c>
      <c r="C274" s="7">
        <f>YEAR(Table2[[#This Row],[Date]])</f>
        <v>2025</v>
      </c>
      <c r="D274" t="s">
        <v>36</v>
      </c>
      <c r="E274" t="s">
        <v>66</v>
      </c>
      <c r="F274" t="s">
        <v>44</v>
      </c>
      <c r="G274" t="b">
        <v>0</v>
      </c>
      <c r="H274" s="10">
        <v>1</v>
      </c>
      <c r="I274" s="10">
        <v>4</v>
      </c>
      <c r="J274" t="s">
        <v>54</v>
      </c>
      <c r="K274" s="9">
        <v>6454</v>
      </c>
      <c r="L274" t="s">
        <v>188</v>
      </c>
      <c r="M274" t="s">
        <v>34</v>
      </c>
      <c r="N274" s="7">
        <v>33</v>
      </c>
      <c r="O274" s="10">
        <v>1</v>
      </c>
      <c r="P274" s="7">
        <v>0</v>
      </c>
      <c r="Q274" t="s">
        <v>46</v>
      </c>
      <c r="R274" s="9">
        <v>111027</v>
      </c>
      <c r="S274" s="10">
        <v>3.81</v>
      </c>
      <c r="T274" s="9">
        <v>113861.86</v>
      </c>
      <c r="U274" s="6">
        <v>28</v>
      </c>
      <c r="V274" t="s">
        <v>29</v>
      </c>
    </row>
    <row r="275" spans="1:22" x14ac:dyDescent="0.25">
      <c r="A275" t="s">
        <v>430</v>
      </c>
      <c r="B275" s="1">
        <v>45549</v>
      </c>
      <c r="C275" s="7">
        <f>YEAR(Table2[[#This Row],[Date]])</f>
        <v>2024</v>
      </c>
      <c r="D275" t="s">
        <v>53</v>
      </c>
      <c r="E275" t="s">
        <v>98</v>
      </c>
      <c r="F275" t="s">
        <v>38</v>
      </c>
      <c r="G275" t="b">
        <v>1</v>
      </c>
      <c r="H275" s="10">
        <v>1</v>
      </c>
      <c r="I275" s="10">
        <v>4</v>
      </c>
      <c r="J275" t="s">
        <v>54</v>
      </c>
      <c r="K275" s="9">
        <v>15870</v>
      </c>
      <c r="L275" t="s">
        <v>167</v>
      </c>
      <c r="M275" t="s">
        <v>50</v>
      </c>
      <c r="N275" s="7">
        <v>75</v>
      </c>
      <c r="O275" s="10">
        <v>0</v>
      </c>
      <c r="P275" s="7">
        <v>1</v>
      </c>
      <c r="Q275" t="s">
        <v>87</v>
      </c>
      <c r="R275" s="9">
        <v>130603</v>
      </c>
      <c r="S275" s="10">
        <v>2.19</v>
      </c>
      <c r="T275" s="9">
        <v>5325.13</v>
      </c>
      <c r="U275" s="6">
        <v>31</v>
      </c>
      <c r="V275" t="s">
        <v>42</v>
      </c>
    </row>
    <row r="276" spans="1:22" x14ac:dyDescent="0.25">
      <c r="A276" t="s">
        <v>431</v>
      </c>
      <c r="B276" s="1">
        <v>45833</v>
      </c>
      <c r="C276" s="7">
        <f>YEAR(Table2[[#This Row],[Date]])</f>
        <v>2025</v>
      </c>
      <c r="D276" t="s">
        <v>53</v>
      </c>
      <c r="E276" t="s">
        <v>83</v>
      </c>
      <c r="F276" t="s">
        <v>44</v>
      </c>
      <c r="G276" t="b">
        <v>0</v>
      </c>
      <c r="H276" s="10">
        <v>0</v>
      </c>
      <c r="I276" s="10">
        <v>1</v>
      </c>
      <c r="J276" t="s">
        <v>54</v>
      </c>
      <c r="K276" s="9">
        <v>19867</v>
      </c>
      <c r="L276" t="s">
        <v>251</v>
      </c>
      <c r="M276" t="s">
        <v>34</v>
      </c>
      <c r="N276" s="7">
        <v>90</v>
      </c>
      <c r="O276" s="10">
        <v>0</v>
      </c>
      <c r="P276" s="7">
        <v>2</v>
      </c>
      <c r="Q276" t="s">
        <v>87</v>
      </c>
      <c r="R276" s="9">
        <v>84993</v>
      </c>
      <c r="S276" s="10">
        <v>3.67</v>
      </c>
      <c r="T276" s="9">
        <v>32998.089999999997</v>
      </c>
      <c r="U276" s="6">
        <v>51</v>
      </c>
      <c r="V276" t="s">
        <v>42</v>
      </c>
    </row>
    <row r="277" spans="1:22" x14ac:dyDescent="0.25">
      <c r="A277" t="s">
        <v>432</v>
      </c>
      <c r="B277" s="1">
        <v>45730</v>
      </c>
      <c r="C277" s="7">
        <f>YEAR(Table2[[#This Row],[Date]])</f>
        <v>2025</v>
      </c>
      <c r="D277" t="s">
        <v>97</v>
      </c>
      <c r="E277" t="s">
        <v>37</v>
      </c>
      <c r="F277" t="s">
        <v>38</v>
      </c>
      <c r="G277" t="b">
        <v>1</v>
      </c>
      <c r="H277" s="10">
        <v>4</v>
      </c>
      <c r="I277" s="10">
        <v>2</v>
      </c>
      <c r="J277" t="s">
        <v>25</v>
      </c>
      <c r="K277" s="9">
        <v>43447</v>
      </c>
      <c r="L277" t="s">
        <v>161</v>
      </c>
      <c r="M277" t="s">
        <v>27</v>
      </c>
      <c r="N277" s="7">
        <v>76</v>
      </c>
      <c r="O277" s="10">
        <v>2</v>
      </c>
      <c r="P277" s="7">
        <v>0</v>
      </c>
      <c r="Q277" t="s">
        <v>51</v>
      </c>
      <c r="R277" s="9">
        <v>97547</v>
      </c>
      <c r="S277" s="10">
        <v>8.57</v>
      </c>
      <c r="T277" s="9">
        <v>134649.12</v>
      </c>
      <c r="U277" s="6">
        <v>54</v>
      </c>
      <c r="V277" t="s">
        <v>29</v>
      </c>
    </row>
    <row r="278" spans="1:22" x14ac:dyDescent="0.25">
      <c r="A278" t="s">
        <v>433</v>
      </c>
      <c r="B278" s="1">
        <v>45968</v>
      </c>
      <c r="C278" s="7">
        <f>YEAR(Table2[[#This Row],[Date]])</f>
        <v>2025</v>
      </c>
      <c r="D278" t="s">
        <v>31</v>
      </c>
      <c r="E278" t="s">
        <v>72</v>
      </c>
      <c r="F278" t="s">
        <v>38</v>
      </c>
      <c r="G278" t="b">
        <v>0</v>
      </c>
      <c r="H278" s="10">
        <v>1</v>
      </c>
      <c r="I278" s="10">
        <v>0</v>
      </c>
      <c r="J278" t="s">
        <v>25</v>
      </c>
      <c r="K278" s="9">
        <v>48165</v>
      </c>
      <c r="L278" t="s">
        <v>327</v>
      </c>
      <c r="M278" t="s">
        <v>27</v>
      </c>
      <c r="N278" s="7">
        <v>41</v>
      </c>
      <c r="O278" s="10">
        <v>1</v>
      </c>
      <c r="P278" s="7">
        <v>2</v>
      </c>
      <c r="Q278" t="s">
        <v>46</v>
      </c>
      <c r="R278" s="9">
        <v>116963</v>
      </c>
      <c r="S278" s="10">
        <v>1.64</v>
      </c>
      <c r="T278" s="9">
        <v>88281.45</v>
      </c>
      <c r="U278" s="6">
        <v>39</v>
      </c>
      <c r="V278" t="s">
        <v>29</v>
      </c>
    </row>
    <row r="279" spans="1:22" x14ac:dyDescent="0.25">
      <c r="A279" t="s">
        <v>434</v>
      </c>
      <c r="B279" s="1">
        <v>45407</v>
      </c>
      <c r="C279" s="7">
        <f>YEAR(Table2[[#This Row],[Date]])</f>
        <v>2024</v>
      </c>
      <c r="D279" t="s">
        <v>69</v>
      </c>
      <c r="E279" t="s">
        <v>37</v>
      </c>
      <c r="F279" t="s">
        <v>38</v>
      </c>
      <c r="G279" t="b">
        <v>1</v>
      </c>
      <c r="H279" s="10">
        <v>5</v>
      </c>
      <c r="I279" s="10">
        <v>0</v>
      </c>
      <c r="J279" t="s">
        <v>25</v>
      </c>
      <c r="K279" s="9">
        <v>17769</v>
      </c>
      <c r="L279" t="s">
        <v>45</v>
      </c>
      <c r="M279" t="s">
        <v>50</v>
      </c>
      <c r="N279" s="7">
        <v>36</v>
      </c>
      <c r="O279" s="10">
        <v>0</v>
      </c>
      <c r="P279" s="7">
        <v>1</v>
      </c>
      <c r="Q279" t="s">
        <v>87</v>
      </c>
      <c r="R279" s="9">
        <v>84705</v>
      </c>
      <c r="S279" s="10">
        <v>5.57</v>
      </c>
      <c r="T279" s="9">
        <v>215989.1</v>
      </c>
      <c r="U279" s="6">
        <v>19</v>
      </c>
      <c r="V279" t="s">
        <v>29</v>
      </c>
    </row>
    <row r="280" spans="1:22" x14ac:dyDescent="0.25">
      <c r="A280" t="s">
        <v>435</v>
      </c>
      <c r="B280" s="1">
        <v>45531</v>
      </c>
      <c r="C280" s="7">
        <f>YEAR(Table2[[#This Row],[Date]])</f>
        <v>2024</v>
      </c>
      <c r="D280" t="s">
        <v>69</v>
      </c>
      <c r="E280" t="s">
        <v>37</v>
      </c>
      <c r="F280" t="s">
        <v>38</v>
      </c>
      <c r="G280" t="b">
        <v>1</v>
      </c>
      <c r="H280" s="10">
        <v>0</v>
      </c>
      <c r="I280" s="10">
        <v>1</v>
      </c>
      <c r="J280" t="s">
        <v>54</v>
      </c>
      <c r="K280" s="9">
        <v>39142</v>
      </c>
      <c r="L280" t="s">
        <v>301</v>
      </c>
      <c r="M280" t="s">
        <v>61</v>
      </c>
      <c r="N280" s="7">
        <v>55</v>
      </c>
      <c r="O280" s="10">
        <v>2</v>
      </c>
      <c r="P280" s="7">
        <v>0</v>
      </c>
      <c r="Q280" t="s">
        <v>87</v>
      </c>
      <c r="R280" s="9">
        <v>126715</v>
      </c>
      <c r="S280" s="10">
        <v>1.03</v>
      </c>
      <c r="T280" s="9">
        <v>3387.56</v>
      </c>
      <c r="U280" s="6">
        <v>38</v>
      </c>
      <c r="V280" t="s">
        <v>42</v>
      </c>
    </row>
    <row r="281" spans="1:22" x14ac:dyDescent="0.25">
      <c r="A281" t="s">
        <v>436</v>
      </c>
      <c r="B281" s="1">
        <v>45602</v>
      </c>
      <c r="C281" s="7">
        <f>YEAR(Table2[[#This Row],[Date]])</f>
        <v>2024</v>
      </c>
      <c r="D281" t="s">
        <v>97</v>
      </c>
      <c r="E281" t="s">
        <v>23</v>
      </c>
      <c r="F281" t="s">
        <v>38</v>
      </c>
      <c r="G281" t="b">
        <v>0</v>
      </c>
      <c r="H281" s="10">
        <v>4</v>
      </c>
      <c r="I281" s="10">
        <v>1</v>
      </c>
      <c r="J281" t="s">
        <v>25</v>
      </c>
      <c r="K281" s="9">
        <v>24749</v>
      </c>
      <c r="L281" t="s">
        <v>310</v>
      </c>
      <c r="M281" t="s">
        <v>61</v>
      </c>
      <c r="N281" s="7">
        <v>25</v>
      </c>
      <c r="O281" s="10">
        <v>0</v>
      </c>
      <c r="P281" s="7">
        <v>0</v>
      </c>
      <c r="Q281" t="s">
        <v>41</v>
      </c>
      <c r="R281" s="9">
        <v>95836</v>
      </c>
      <c r="S281" s="10">
        <v>1.39</v>
      </c>
      <c r="T281" s="9">
        <v>187133.41</v>
      </c>
      <c r="U281" s="6">
        <v>49</v>
      </c>
      <c r="V281" t="s">
        <v>29</v>
      </c>
    </row>
    <row r="282" spans="1:22" x14ac:dyDescent="0.25">
      <c r="A282" t="s">
        <v>437</v>
      </c>
      <c r="B282" s="1">
        <v>45625</v>
      </c>
      <c r="C282" s="7">
        <f>YEAR(Table2[[#This Row],[Date]])</f>
        <v>2024</v>
      </c>
      <c r="D282" t="s">
        <v>22</v>
      </c>
      <c r="E282" t="s">
        <v>98</v>
      </c>
      <c r="F282" t="s">
        <v>24</v>
      </c>
      <c r="G282" t="b">
        <v>0</v>
      </c>
      <c r="H282" s="10">
        <v>3</v>
      </c>
      <c r="I282" s="10">
        <v>1</v>
      </c>
      <c r="J282" t="s">
        <v>25</v>
      </c>
      <c r="K282" s="9">
        <v>37742</v>
      </c>
      <c r="L282" t="s">
        <v>221</v>
      </c>
      <c r="M282" t="s">
        <v>50</v>
      </c>
      <c r="N282" s="7">
        <v>41</v>
      </c>
      <c r="O282" s="10">
        <v>1</v>
      </c>
      <c r="P282" s="7">
        <v>1</v>
      </c>
      <c r="Q282" t="s">
        <v>62</v>
      </c>
      <c r="R282" s="9">
        <v>90422</v>
      </c>
      <c r="S282" s="10">
        <v>5.24</v>
      </c>
      <c r="T282" s="9">
        <v>29149.34</v>
      </c>
      <c r="U282" s="6">
        <v>44</v>
      </c>
      <c r="V282" t="s">
        <v>29</v>
      </c>
    </row>
    <row r="283" spans="1:22" x14ac:dyDescent="0.25">
      <c r="A283" t="s">
        <v>438</v>
      </c>
      <c r="B283" s="1">
        <v>45484</v>
      </c>
      <c r="C283" s="7">
        <f>YEAR(Table2[[#This Row],[Date]])</f>
        <v>2024</v>
      </c>
      <c r="D283" t="s">
        <v>53</v>
      </c>
      <c r="E283" t="s">
        <v>72</v>
      </c>
      <c r="F283" t="s">
        <v>44</v>
      </c>
      <c r="G283" t="b">
        <v>1</v>
      </c>
      <c r="H283" s="10">
        <v>2</v>
      </c>
      <c r="I283" s="10">
        <v>0</v>
      </c>
      <c r="J283" t="s">
        <v>25</v>
      </c>
      <c r="K283" s="9">
        <v>42019</v>
      </c>
      <c r="L283" t="s">
        <v>296</v>
      </c>
      <c r="M283" t="s">
        <v>27</v>
      </c>
      <c r="N283" s="7">
        <v>31</v>
      </c>
      <c r="O283" s="10">
        <v>0</v>
      </c>
      <c r="P283" s="7">
        <v>1</v>
      </c>
      <c r="Q283" t="s">
        <v>41</v>
      </c>
      <c r="R283" s="9">
        <v>127915</v>
      </c>
      <c r="S283" s="10">
        <v>6.18</v>
      </c>
      <c r="T283" s="9">
        <v>177190.84</v>
      </c>
      <c r="U283" s="6">
        <v>22</v>
      </c>
      <c r="V283" t="s">
        <v>42</v>
      </c>
    </row>
    <row r="284" spans="1:22" x14ac:dyDescent="0.25">
      <c r="A284" t="s">
        <v>439</v>
      </c>
      <c r="B284" s="1">
        <v>45669</v>
      </c>
      <c r="C284" s="7">
        <f>YEAR(Table2[[#This Row],[Date]])</f>
        <v>2025</v>
      </c>
      <c r="D284" t="s">
        <v>31</v>
      </c>
      <c r="E284" t="s">
        <v>98</v>
      </c>
      <c r="F284" t="s">
        <v>38</v>
      </c>
      <c r="G284" t="b">
        <v>0</v>
      </c>
      <c r="H284" s="10">
        <v>0</v>
      </c>
      <c r="I284" s="10">
        <v>2</v>
      </c>
      <c r="J284" t="s">
        <v>54</v>
      </c>
      <c r="K284" s="9">
        <v>26850</v>
      </c>
      <c r="L284" t="s">
        <v>195</v>
      </c>
      <c r="M284" t="s">
        <v>27</v>
      </c>
      <c r="N284" s="7">
        <v>52</v>
      </c>
      <c r="O284" s="10">
        <v>0</v>
      </c>
      <c r="P284" s="7">
        <v>0</v>
      </c>
      <c r="Q284" t="s">
        <v>41</v>
      </c>
      <c r="R284" s="9">
        <v>147685</v>
      </c>
      <c r="S284" s="10">
        <v>1.39</v>
      </c>
      <c r="T284" s="9">
        <v>141718.15</v>
      </c>
      <c r="U284" s="6">
        <v>54</v>
      </c>
      <c r="V284" t="s">
        <v>29</v>
      </c>
    </row>
    <row r="285" spans="1:22" x14ac:dyDescent="0.25">
      <c r="A285" t="s">
        <v>440</v>
      </c>
      <c r="B285" s="1">
        <v>45674</v>
      </c>
      <c r="C285" s="7">
        <f>YEAR(Table2[[#This Row],[Date]])</f>
        <v>2025</v>
      </c>
      <c r="D285" t="s">
        <v>31</v>
      </c>
      <c r="E285" t="s">
        <v>23</v>
      </c>
      <c r="F285" t="s">
        <v>38</v>
      </c>
      <c r="G285" t="b">
        <v>1</v>
      </c>
      <c r="H285" s="10">
        <v>1</v>
      </c>
      <c r="I285" s="10">
        <v>3</v>
      </c>
      <c r="J285" t="s">
        <v>54</v>
      </c>
      <c r="K285" s="9">
        <v>34061</v>
      </c>
      <c r="L285" t="s">
        <v>57</v>
      </c>
      <c r="M285" t="s">
        <v>34</v>
      </c>
      <c r="N285" s="7">
        <v>58</v>
      </c>
      <c r="O285" s="10">
        <v>0</v>
      </c>
      <c r="P285" s="7">
        <v>1</v>
      </c>
      <c r="Q285" t="s">
        <v>51</v>
      </c>
      <c r="R285" s="9">
        <v>71995</v>
      </c>
      <c r="S285" s="10">
        <v>1.1000000000000001</v>
      </c>
      <c r="T285" s="9">
        <v>245122.34</v>
      </c>
      <c r="U285" s="6">
        <v>31</v>
      </c>
      <c r="V285" t="s">
        <v>29</v>
      </c>
    </row>
    <row r="286" spans="1:22" x14ac:dyDescent="0.25">
      <c r="A286" t="s">
        <v>441</v>
      </c>
      <c r="B286" s="1">
        <v>45676</v>
      </c>
      <c r="C286" s="7">
        <f>YEAR(Table2[[#This Row],[Date]])</f>
        <v>2025</v>
      </c>
      <c r="D286" t="s">
        <v>22</v>
      </c>
      <c r="E286" t="s">
        <v>32</v>
      </c>
      <c r="F286" t="s">
        <v>24</v>
      </c>
      <c r="G286" t="b">
        <v>1</v>
      </c>
      <c r="H286" s="10">
        <v>1</v>
      </c>
      <c r="I286" s="10">
        <v>2</v>
      </c>
      <c r="J286" t="s">
        <v>54</v>
      </c>
      <c r="K286" s="9">
        <v>27617</v>
      </c>
      <c r="L286" t="s">
        <v>358</v>
      </c>
      <c r="M286" t="s">
        <v>34</v>
      </c>
      <c r="N286" s="7">
        <v>55</v>
      </c>
      <c r="O286" s="10">
        <v>1</v>
      </c>
      <c r="P286" s="7">
        <v>0</v>
      </c>
      <c r="Q286" t="s">
        <v>62</v>
      </c>
      <c r="R286" s="9">
        <v>106133</v>
      </c>
      <c r="S286" s="10">
        <v>6.69</v>
      </c>
      <c r="T286" s="9">
        <v>164222.68</v>
      </c>
      <c r="U286" s="6">
        <v>34</v>
      </c>
      <c r="V286" t="s">
        <v>42</v>
      </c>
    </row>
    <row r="287" spans="1:22" x14ac:dyDescent="0.25">
      <c r="A287" t="s">
        <v>442</v>
      </c>
      <c r="B287" s="1">
        <v>45996</v>
      </c>
      <c r="C287" s="7">
        <f>YEAR(Table2[[#This Row],[Date]])</f>
        <v>2025</v>
      </c>
      <c r="D287" t="s">
        <v>22</v>
      </c>
      <c r="E287" t="s">
        <v>98</v>
      </c>
      <c r="F287" t="s">
        <v>44</v>
      </c>
      <c r="G287" t="b">
        <v>0</v>
      </c>
      <c r="H287" s="10">
        <v>2</v>
      </c>
      <c r="I287" s="10">
        <v>3</v>
      </c>
      <c r="J287" t="s">
        <v>54</v>
      </c>
      <c r="K287" s="9">
        <v>18309</v>
      </c>
      <c r="L287" t="s">
        <v>75</v>
      </c>
      <c r="M287" t="s">
        <v>34</v>
      </c>
      <c r="N287" s="7">
        <v>57</v>
      </c>
      <c r="O287" s="10">
        <v>0</v>
      </c>
      <c r="P287" s="7">
        <v>0</v>
      </c>
      <c r="Q287" t="s">
        <v>87</v>
      </c>
      <c r="R287" s="9">
        <v>38733</v>
      </c>
      <c r="S287" s="10">
        <v>2.87</v>
      </c>
      <c r="T287" s="9">
        <v>73708.42</v>
      </c>
      <c r="U287" s="6">
        <v>49</v>
      </c>
      <c r="V287" t="s">
        <v>42</v>
      </c>
    </row>
    <row r="288" spans="1:22" x14ac:dyDescent="0.25">
      <c r="A288" t="s">
        <v>443</v>
      </c>
      <c r="B288" s="1">
        <v>45450</v>
      </c>
      <c r="C288" s="7">
        <f>YEAR(Table2[[#This Row],[Date]])</f>
        <v>2024</v>
      </c>
      <c r="D288" t="s">
        <v>97</v>
      </c>
      <c r="E288" t="s">
        <v>23</v>
      </c>
      <c r="F288" t="s">
        <v>44</v>
      </c>
      <c r="G288" t="b">
        <v>0</v>
      </c>
      <c r="H288" s="10">
        <v>0</v>
      </c>
      <c r="I288" s="10">
        <v>1</v>
      </c>
      <c r="J288" t="s">
        <v>54</v>
      </c>
      <c r="K288" s="9">
        <v>25500</v>
      </c>
      <c r="L288" t="s">
        <v>383</v>
      </c>
      <c r="M288" t="s">
        <v>27</v>
      </c>
      <c r="N288" s="7">
        <v>64</v>
      </c>
      <c r="O288" s="10">
        <v>1</v>
      </c>
      <c r="P288" s="7">
        <v>1</v>
      </c>
      <c r="Q288" t="s">
        <v>28</v>
      </c>
      <c r="R288" s="9">
        <v>32657</v>
      </c>
      <c r="S288" s="10">
        <v>3.84</v>
      </c>
      <c r="T288" s="9">
        <v>241353.58</v>
      </c>
      <c r="U288" s="6">
        <v>60</v>
      </c>
      <c r="V288" t="s">
        <v>29</v>
      </c>
    </row>
    <row r="289" spans="1:22" x14ac:dyDescent="0.25">
      <c r="A289" t="s">
        <v>444</v>
      </c>
      <c r="B289" s="1">
        <v>45880</v>
      </c>
      <c r="C289" s="7">
        <f>YEAR(Table2[[#This Row],[Date]])</f>
        <v>2025</v>
      </c>
      <c r="D289" t="s">
        <v>89</v>
      </c>
      <c r="E289" t="s">
        <v>37</v>
      </c>
      <c r="F289" t="s">
        <v>38</v>
      </c>
      <c r="G289" t="b">
        <v>0</v>
      </c>
      <c r="H289" s="10">
        <v>2</v>
      </c>
      <c r="I289" s="10">
        <v>0</v>
      </c>
      <c r="J289" t="s">
        <v>25</v>
      </c>
      <c r="K289" s="9">
        <v>50989</v>
      </c>
      <c r="L289" t="s">
        <v>112</v>
      </c>
      <c r="M289" t="s">
        <v>27</v>
      </c>
      <c r="N289" s="7">
        <v>13</v>
      </c>
      <c r="O289" s="10">
        <v>0</v>
      </c>
      <c r="P289" s="7">
        <v>0</v>
      </c>
      <c r="Q289" t="s">
        <v>51</v>
      </c>
      <c r="R289" s="9">
        <v>81590</v>
      </c>
      <c r="S289" s="10">
        <v>5.39</v>
      </c>
      <c r="T289" s="9">
        <v>195810.78</v>
      </c>
      <c r="U289" s="6">
        <v>33</v>
      </c>
      <c r="V289" t="s">
        <v>29</v>
      </c>
    </row>
    <row r="290" spans="1:22" x14ac:dyDescent="0.25">
      <c r="A290" t="s">
        <v>445</v>
      </c>
      <c r="B290" s="1">
        <v>45585</v>
      </c>
      <c r="C290" s="7">
        <f>YEAR(Table2[[#This Row],[Date]])</f>
        <v>2024</v>
      </c>
      <c r="D290" t="s">
        <v>77</v>
      </c>
      <c r="E290" t="s">
        <v>98</v>
      </c>
      <c r="F290" t="s">
        <v>24</v>
      </c>
      <c r="G290" t="b">
        <v>1</v>
      </c>
      <c r="H290" s="10">
        <v>3</v>
      </c>
      <c r="I290" s="10">
        <v>2</v>
      </c>
      <c r="J290" t="s">
        <v>25</v>
      </c>
      <c r="K290" s="9">
        <v>12070</v>
      </c>
      <c r="L290" t="s">
        <v>93</v>
      </c>
      <c r="M290" t="s">
        <v>61</v>
      </c>
      <c r="N290" s="7">
        <v>94</v>
      </c>
      <c r="O290" s="10">
        <v>2</v>
      </c>
      <c r="P290" s="7">
        <v>2</v>
      </c>
      <c r="Q290" t="s">
        <v>41</v>
      </c>
      <c r="R290" s="9">
        <v>20909</v>
      </c>
      <c r="S290" s="10">
        <v>4.08</v>
      </c>
      <c r="T290" s="9">
        <v>98689.19</v>
      </c>
      <c r="U290" s="6">
        <v>56</v>
      </c>
      <c r="V290" t="s">
        <v>29</v>
      </c>
    </row>
    <row r="291" spans="1:22" x14ac:dyDescent="0.25">
      <c r="A291" t="s">
        <v>446</v>
      </c>
      <c r="B291" s="1">
        <v>45806</v>
      </c>
      <c r="C291" s="7">
        <f>YEAR(Table2[[#This Row],[Date]])</f>
        <v>2025</v>
      </c>
      <c r="D291" t="s">
        <v>22</v>
      </c>
      <c r="E291" t="s">
        <v>48</v>
      </c>
      <c r="F291" t="s">
        <v>44</v>
      </c>
      <c r="G291" t="b">
        <v>1</v>
      </c>
      <c r="H291" s="10">
        <v>5</v>
      </c>
      <c r="I291" s="10">
        <v>4</v>
      </c>
      <c r="J291" t="s">
        <v>25</v>
      </c>
      <c r="K291" s="9">
        <v>22648</v>
      </c>
      <c r="L291" t="s">
        <v>64</v>
      </c>
      <c r="M291" t="s">
        <v>34</v>
      </c>
      <c r="N291" s="7">
        <v>80</v>
      </c>
      <c r="O291" s="10">
        <v>2</v>
      </c>
      <c r="P291" s="7">
        <v>0</v>
      </c>
      <c r="Q291" t="s">
        <v>46</v>
      </c>
      <c r="R291" s="9">
        <v>62422</v>
      </c>
      <c r="S291" s="10">
        <v>7.47</v>
      </c>
      <c r="T291" s="9">
        <v>145120.26999999999</v>
      </c>
      <c r="U291" s="6">
        <v>30</v>
      </c>
      <c r="V291" t="s">
        <v>42</v>
      </c>
    </row>
    <row r="292" spans="1:22" x14ac:dyDescent="0.25">
      <c r="A292" t="s">
        <v>447</v>
      </c>
      <c r="B292" s="1">
        <v>45660</v>
      </c>
      <c r="C292" s="7">
        <f>YEAR(Table2[[#This Row],[Date]])</f>
        <v>2025</v>
      </c>
      <c r="D292" t="s">
        <v>89</v>
      </c>
      <c r="E292" t="s">
        <v>32</v>
      </c>
      <c r="F292" t="s">
        <v>38</v>
      </c>
      <c r="G292" t="b">
        <v>1</v>
      </c>
      <c r="H292" s="10">
        <v>1</v>
      </c>
      <c r="I292" s="10">
        <v>2</v>
      </c>
      <c r="J292" t="s">
        <v>54</v>
      </c>
      <c r="K292" s="9">
        <v>22443</v>
      </c>
      <c r="L292" t="s">
        <v>159</v>
      </c>
      <c r="M292" t="s">
        <v>27</v>
      </c>
      <c r="N292" s="7">
        <v>38</v>
      </c>
      <c r="O292" s="10">
        <v>1</v>
      </c>
      <c r="P292" s="7">
        <v>1</v>
      </c>
      <c r="Q292" t="s">
        <v>81</v>
      </c>
      <c r="R292" s="9">
        <v>19294</v>
      </c>
      <c r="S292" s="10">
        <v>9.5</v>
      </c>
      <c r="T292" s="9">
        <v>133544.45000000001</v>
      </c>
      <c r="U292" s="6">
        <v>53</v>
      </c>
      <c r="V292" t="s">
        <v>29</v>
      </c>
    </row>
    <row r="293" spans="1:22" x14ac:dyDescent="0.25">
      <c r="A293" t="s">
        <v>448</v>
      </c>
      <c r="B293" s="1">
        <v>45474</v>
      </c>
      <c r="C293" s="7">
        <f>YEAR(Table2[[#This Row],[Date]])</f>
        <v>2024</v>
      </c>
      <c r="D293" t="s">
        <v>69</v>
      </c>
      <c r="E293" t="s">
        <v>32</v>
      </c>
      <c r="F293" t="s">
        <v>24</v>
      </c>
      <c r="G293" t="b">
        <v>0</v>
      </c>
      <c r="H293" s="10">
        <v>5</v>
      </c>
      <c r="I293" s="10">
        <v>4</v>
      </c>
      <c r="J293" t="s">
        <v>25</v>
      </c>
      <c r="K293" s="9">
        <v>43706</v>
      </c>
      <c r="L293" t="s">
        <v>316</v>
      </c>
      <c r="M293" t="s">
        <v>27</v>
      </c>
      <c r="N293" s="7">
        <v>91</v>
      </c>
      <c r="O293" s="10">
        <v>0</v>
      </c>
      <c r="P293" s="7">
        <v>0</v>
      </c>
      <c r="Q293" t="s">
        <v>62</v>
      </c>
      <c r="R293" s="9">
        <v>108028</v>
      </c>
      <c r="S293" s="10">
        <v>7.66</v>
      </c>
      <c r="T293" s="9">
        <v>60278.59</v>
      </c>
      <c r="U293" s="6">
        <v>55</v>
      </c>
      <c r="V293" t="s">
        <v>29</v>
      </c>
    </row>
    <row r="294" spans="1:22" x14ac:dyDescent="0.25">
      <c r="A294" t="s">
        <v>449</v>
      </c>
      <c r="B294" s="1">
        <v>46011</v>
      </c>
      <c r="C294" s="7">
        <f>YEAR(Table2[[#This Row],[Date]])</f>
        <v>2025</v>
      </c>
      <c r="D294" t="s">
        <v>69</v>
      </c>
      <c r="E294" t="s">
        <v>48</v>
      </c>
      <c r="F294" t="s">
        <v>44</v>
      </c>
      <c r="G294" t="b">
        <v>0</v>
      </c>
      <c r="H294" s="10">
        <v>1</v>
      </c>
      <c r="I294" s="10">
        <v>0</v>
      </c>
      <c r="J294" t="s">
        <v>25</v>
      </c>
      <c r="K294" s="9">
        <v>32767</v>
      </c>
      <c r="L294" t="s">
        <v>103</v>
      </c>
      <c r="M294" t="s">
        <v>27</v>
      </c>
      <c r="N294" s="7">
        <v>18</v>
      </c>
      <c r="O294" s="10">
        <v>0</v>
      </c>
      <c r="P294" s="7">
        <v>1</v>
      </c>
      <c r="Q294" t="s">
        <v>62</v>
      </c>
      <c r="R294" s="9">
        <v>99292</v>
      </c>
      <c r="S294" s="10">
        <v>3.97</v>
      </c>
      <c r="T294" s="9">
        <v>88429.69</v>
      </c>
      <c r="U294" s="6">
        <v>26</v>
      </c>
      <c r="V294" t="s">
        <v>29</v>
      </c>
    </row>
    <row r="295" spans="1:22" x14ac:dyDescent="0.25">
      <c r="A295" t="s">
        <v>450</v>
      </c>
      <c r="B295" s="1">
        <v>45554</v>
      </c>
      <c r="C295" s="7">
        <f>YEAR(Table2[[#This Row],[Date]])</f>
        <v>2024</v>
      </c>
      <c r="D295" t="s">
        <v>31</v>
      </c>
      <c r="E295" t="s">
        <v>72</v>
      </c>
      <c r="F295" t="s">
        <v>44</v>
      </c>
      <c r="G295" t="b">
        <v>0</v>
      </c>
      <c r="H295" s="10">
        <v>3</v>
      </c>
      <c r="I295" s="10">
        <v>0</v>
      </c>
      <c r="J295" t="s">
        <v>25</v>
      </c>
      <c r="K295" s="9">
        <v>53520</v>
      </c>
      <c r="L295" t="s">
        <v>215</v>
      </c>
      <c r="M295" t="s">
        <v>50</v>
      </c>
      <c r="N295" s="7">
        <v>70</v>
      </c>
      <c r="O295" s="10">
        <v>0</v>
      </c>
      <c r="P295" s="7">
        <v>0</v>
      </c>
      <c r="Q295" t="s">
        <v>51</v>
      </c>
      <c r="R295" s="9">
        <v>120480</v>
      </c>
      <c r="S295" s="10">
        <v>3.4</v>
      </c>
      <c r="T295" s="9">
        <v>210857.87</v>
      </c>
      <c r="U295" s="6">
        <v>49</v>
      </c>
      <c r="V295" t="s">
        <v>29</v>
      </c>
    </row>
    <row r="296" spans="1:22" x14ac:dyDescent="0.25">
      <c r="A296" t="s">
        <v>451</v>
      </c>
      <c r="B296" s="1">
        <v>45488</v>
      </c>
      <c r="C296" s="7">
        <f>YEAR(Table2[[#This Row],[Date]])</f>
        <v>2024</v>
      </c>
      <c r="D296" t="s">
        <v>22</v>
      </c>
      <c r="E296" t="s">
        <v>23</v>
      </c>
      <c r="F296" t="s">
        <v>24</v>
      </c>
      <c r="G296" t="b">
        <v>0</v>
      </c>
      <c r="H296" s="10">
        <v>5</v>
      </c>
      <c r="I296" s="10">
        <v>0</v>
      </c>
      <c r="J296" t="s">
        <v>25</v>
      </c>
      <c r="K296" s="9">
        <v>35928</v>
      </c>
      <c r="L296" t="s">
        <v>341</v>
      </c>
      <c r="M296" t="s">
        <v>27</v>
      </c>
      <c r="N296" s="7">
        <v>67</v>
      </c>
      <c r="O296" s="10">
        <v>0</v>
      </c>
      <c r="P296" s="7">
        <v>1</v>
      </c>
      <c r="Q296" t="s">
        <v>62</v>
      </c>
      <c r="R296" s="9">
        <v>145636</v>
      </c>
      <c r="S296" s="10">
        <v>5.86</v>
      </c>
      <c r="T296" s="9">
        <v>23322.2</v>
      </c>
      <c r="U296" s="6">
        <v>19</v>
      </c>
      <c r="V296" t="s">
        <v>29</v>
      </c>
    </row>
    <row r="297" spans="1:22" x14ac:dyDescent="0.25">
      <c r="A297" t="s">
        <v>452</v>
      </c>
      <c r="B297" s="1">
        <v>45939</v>
      </c>
      <c r="C297" s="7">
        <f>YEAR(Table2[[#This Row],[Date]])</f>
        <v>2025</v>
      </c>
      <c r="D297" t="s">
        <v>97</v>
      </c>
      <c r="E297" t="s">
        <v>32</v>
      </c>
      <c r="F297" t="s">
        <v>24</v>
      </c>
      <c r="G297" t="b">
        <v>1</v>
      </c>
      <c r="H297" s="10">
        <v>3</v>
      </c>
      <c r="I297" s="10">
        <v>2</v>
      </c>
      <c r="J297" t="s">
        <v>25</v>
      </c>
      <c r="K297" s="9">
        <v>7268</v>
      </c>
      <c r="L297" t="s">
        <v>334</v>
      </c>
      <c r="M297" t="s">
        <v>50</v>
      </c>
      <c r="N297" s="7">
        <v>33</v>
      </c>
      <c r="O297" s="10">
        <v>0</v>
      </c>
      <c r="P297" s="7">
        <v>2</v>
      </c>
      <c r="Q297" t="s">
        <v>28</v>
      </c>
      <c r="R297" s="9">
        <v>41739</v>
      </c>
      <c r="S297" s="10">
        <v>0.82</v>
      </c>
      <c r="T297" s="9">
        <v>82561.070000000007</v>
      </c>
      <c r="U297" s="6">
        <v>43</v>
      </c>
      <c r="V297" t="s">
        <v>29</v>
      </c>
    </row>
    <row r="298" spans="1:22" x14ac:dyDescent="0.25">
      <c r="A298" t="s">
        <v>453</v>
      </c>
      <c r="B298" s="1">
        <v>45578</v>
      </c>
      <c r="C298" s="7">
        <f>YEAR(Table2[[#This Row],[Date]])</f>
        <v>2024</v>
      </c>
      <c r="D298" t="s">
        <v>69</v>
      </c>
      <c r="E298" t="s">
        <v>48</v>
      </c>
      <c r="F298" t="s">
        <v>24</v>
      </c>
      <c r="G298" t="b">
        <v>1</v>
      </c>
      <c r="H298" s="10">
        <v>3</v>
      </c>
      <c r="I298" s="10">
        <v>0</v>
      </c>
      <c r="J298" t="s">
        <v>25</v>
      </c>
      <c r="K298" s="9">
        <v>46653</v>
      </c>
      <c r="L298" t="s">
        <v>167</v>
      </c>
      <c r="M298" t="s">
        <v>50</v>
      </c>
      <c r="N298" s="7">
        <v>39</v>
      </c>
      <c r="O298" s="10">
        <v>0</v>
      </c>
      <c r="P298" s="7">
        <v>2</v>
      </c>
      <c r="Q298" t="s">
        <v>87</v>
      </c>
      <c r="R298" s="9">
        <v>12735</v>
      </c>
      <c r="S298" s="10">
        <v>6.64</v>
      </c>
      <c r="T298" s="9">
        <v>121290.14</v>
      </c>
      <c r="U298" s="6">
        <v>20</v>
      </c>
      <c r="V298" t="s">
        <v>42</v>
      </c>
    </row>
    <row r="299" spans="1:22" x14ac:dyDescent="0.25">
      <c r="A299" t="s">
        <v>454</v>
      </c>
      <c r="B299" s="1">
        <v>46021</v>
      </c>
      <c r="C299" s="7">
        <f>YEAR(Table2[[#This Row],[Date]])</f>
        <v>2025</v>
      </c>
      <c r="D299" t="s">
        <v>22</v>
      </c>
      <c r="E299" t="s">
        <v>83</v>
      </c>
      <c r="F299" t="s">
        <v>24</v>
      </c>
      <c r="G299" t="b">
        <v>1</v>
      </c>
      <c r="H299" s="10">
        <v>1</v>
      </c>
      <c r="I299" s="10">
        <v>3</v>
      </c>
      <c r="J299" t="s">
        <v>54</v>
      </c>
      <c r="K299" s="9">
        <v>12899</v>
      </c>
      <c r="L299" t="s">
        <v>126</v>
      </c>
      <c r="M299" t="s">
        <v>50</v>
      </c>
      <c r="N299" s="7">
        <v>24</v>
      </c>
      <c r="O299" s="10">
        <v>0</v>
      </c>
      <c r="P299" s="7">
        <v>0</v>
      </c>
      <c r="Q299" t="s">
        <v>41</v>
      </c>
      <c r="R299" s="9">
        <v>65785</v>
      </c>
      <c r="S299" s="10">
        <v>6.36</v>
      </c>
      <c r="T299" s="9">
        <v>160924.29999999999</v>
      </c>
      <c r="U299" s="6">
        <v>21</v>
      </c>
      <c r="V299" t="s">
        <v>42</v>
      </c>
    </row>
    <row r="300" spans="1:22" x14ac:dyDescent="0.25">
      <c r="A300" t="s">
        <v>455</v>
      </c>
      <c r="B300" s="1">
        <v>45693</v>
      </c>
      <c r="C300" s="7">
        <f>YEAR(Table2[[#This Row],[Date]])</f>
        <v>2025</v>
      </c>
      <c r="D300" t="s">
        <v>36</v>
      </c>
      <c r="E300" t="s">
        <v>23</v>
      </c>
      <c r="F300" t="s">
        <v>44</v>
      </c>
      <c r="G300" t="b">
        <v>1</v>
      </c>
      <c r="H300" s="10">
        <v>0</v>
      </c>
      <c r="I300" s="10">
        <v>2</v>
      </c>
      <c r="J300" t="s">
        <v>54</v>
      </c>
      <c r="K300" s="9">
        <v>10501</v>
      </c>
      <c r="L300" t="s">
        <v>118</v>
      </c>
      <c r="M300" t="s">
        <v>50</v>
      </c>
      <c r="N300" s="7">
        <v>94</v>
      </c>
      <c r="O300" s="10">
        <v>0</v>
      </c>
      <c r="P300" s="7">
        <v>1</v>
      </c>
      <c r="Q300" t="s">
        <v>62</v>
      </c>
      <c r="R300" s="9">
        <v>61801</v>
      </c>
      <c r="S300" s="10">
        <v>4.78</v>
      </c>
      <c r="T300" s="9">
        <v>55774.48</v>
      </c>
      <c r="U300" s="6">
        <v>51</v>
      </c>
      <c r="V300" t="s">
        <v>29</v>
      </c>
    </row>
    <row r="301" spans="1:22" x14ac:dyDescent="0.25">
      <c r="A301" t="s">
        <v>456</v>
      </c>
      <c r="B301" s="1">
        <v>45597</v>
      </c>
      <c r="C301" s="7">
        <f>YEAR(Table2[[#This Row],[Date]])</f>
        <v>2024</v>
      </c>
      <c r="D301" t="s">
        <v>97</v>
      </c>
      <c r="E301" t="s">
        <v>37</v>
      </c>
      <c r="F301" t="s">
        <v>24</v>
      </c>
      <c r="G301" t="b">
        <v>1</v>
      </c>
      <c r="H301" s="10">
        <v>5</v>
      </c>
      <c r="I301" s="10">
        <v>2</v>
      </c>
      <c r="J301" t="s">
        <v>25</v>
      </c>
      <c r="K301" s="9">
        <v>20771</v>
      </c>
      <c r="L301" t="s">
        <v>151</v>
      </c>
      <c r="M301" t="s">
        <v>27</v>
      </c>
      <c r="N301" s="7">
        <v>22</v>
      </c>
      <c r="O301" s="10">
        <v>0</v>
      </c>
      <c r="P301" s="7">
        <v>0</v>
      </c>
      <c r="Q301" t="s">
        <v>62</v>
      </c>
      <c r="R301" s="9">
        <v>65084</v>
      </c>
      <c r="S301" s="10">
        <v>3.85</v>
      </c>
      <c r="T301" s="9">
        <v>71448.13</v>
      </c>
      <c r="U301" s="6">
        <v>56</v>
      </c>
      <c r="V301" t="s">
        <v>29</v>
      </c>
    </row>
    <row r="302" spans="1:22" x14ac:dyDescent="0.25">
      <c r="A302" t="s">
        <v>457</v>
      </c>
      <c r="B302" s="1">
        <v>45759</v>
      </c>
      <c r="C302" s="7">
        <f>YEAR(Table2[[#This Row],[Date]])</f>
        <v>2025</v>
      </c>
      <c r="D302" t="s">
        <v>22</v>
      </c>
      <c r="E302" t="s">
        <v>72</v>
      </c>
      <c r="F302" t="s">
        <v>24</v>
      </c>
      <c r="G302" t="b">
        <v>1</v>
      </c>
      <c r="H302" s="10">
        <v>3</v>
      </c>
      <c r="I302" s="10">
        <v>0</v>
      </c>
      <c r="J302" t="s">
        <v>25</v>
      </c>
      <c r="K302" s="9">
        <v>34404</v>
      </c>
      <c r="L302" t="s">
        <v>73</v>
      </c>
      <c r="M302" t="s">
        <v>27</v>
      </c>
      <c r="N302" s="7">
        <v>85</v>
      </c>
      <c r="O302" s="10">
        <v>1</v>
      </c>
      <c r="P302" s="7">
        <v>0</v>
      </c>
      <c r="Q302" t="s">
        <v>28</v>
      </c>
      <c r="R302" s="9">
        <v>146721</v>
      </c>
      <c r="S302" s="10">
        <v>4.3899999999999997</v>
      </c>
      <c r="T302" s="9">
        <v>37830.75</v>
      </c>
      <c r="U302" s="6">
        <v>29</v>
      </c>
      <c r="V302" t="s">
        <v>29</v>
      </c>
    </row>
    <row r="303" spans="1:22" x14ac:dyDescent="0.25">
      <c r="A303" t="s">
        <v>458</v>
      </c>
      <c r="B303" s="1">
        <v>45432</v>
      </c>
      <c r="C303" s="7">
        <f>YEAR(Table2[[#This Row],[Date]])</f>
        <v>2024</v>
      </c>
      <c r="D303" t="s">
        <v>89</v>
      </c>
      <c r="E303" t="s">
        <v>83</v>
      </c>
      <c r="F303" t="s">
        <v>24</v>
      </c>
      <c r="G303" t="b">
        <v>0</v>
      </c>
      <c r="H303" s="10">
        <v>4</v>
      </c>
      <c r="I303" s="10">
        <v>3</v>
      </c>
      <c r="J303" t="s">
        <v>25</v>
      </c>
      <c r="K303" s="9">
        <v>30715</v>
      </c>
      <c r="L303" t="s">
        <v>26</v>
      </c>
      <c r="M303" t="s">
        <v>34</v>
      </c>
      <c r="N303" s="7">
        <v>85</v>
      </c>
      <c r="O303" s="10">
        <v>0</v>
      </c>
      <c r="P303" s="7">
        <v>1</v>
      </c>
      <c r="Q303" t="s">
        <v>41</v>
      </c>
      <c r="R303" s="9">
        <v>80096</v>
      </c>
      <c r="S303" s="10">
        <v>5.21</v>
      </c>
      <c r="T303" s="9">
        <v>139502.5</v>
      </c>
      <c r="U303" s="6">
        <v>54</v>
      </c>
      <c r="V303" t="s">
        <v>29</v>
      </c>
    </row>
    <row r="304" spans="1:22" x14ac:dyDescent="0.25">
      <c r="A304" t="s">
        <v>459</v>
      </c>
      <c r="B304" s="1">
        <v>45637</v>
      </c>
      <c r="C304" s="7">
        <f>YEAR(Table2[[#This Row],[Date]])</f>
        <v>2024</v>
      </c>
      <c r="D304" t="s">
        <v>77</v>
      </c>
      <c r="E304" t="s">
        <v>32</v>
      </c>
      <c r="F304" t="s">
        <v>44</v>
      </c>
      <c r="G304" t="b">
        <v>1</v>
      </c>
      <c r="H304" s="10">
        <v>0</v>
      </c>
      <c r="I304" s="10">
        <v>3</v>
      </c>
      <c r="J304" t="s">
        <v>54</v>
      </c>
      <c r="K304" s="9">
        <v>33991</v>
      </c>
      <c r="L304" t="s">
        <v>192</v>
      </c>
      <c r="M304" t="s">
        <v>27</v>
      </c>
      <c r="N304" s="7">
        <v>20</v>
      </c>
      <c r="O304" s="10">
        <v>1</v>
      </c>
      <c r="P304" s="7">
        <v>0</v>
      </c>
      <c r="Q304" t="s">
        <v>41</v>
      </c>
      <c r="R304" s="9">
        <v>106409</v>
      </c>
      <c r="S304" s="10">
        <v>8.59</v>
      </c>
      <c r="T304" s="9">
        <v>76509.78</v>
      </c>
      <c r="U304" s="6">
        <v>21</v>
      </c>
      <c r="V304" t="s">
        <v>29</v>
      </c>
    </row>
    <row r="305" spans="1:22" x14ac:dyDescent="0.25">
      <c r="A305" t="s">
        <v>460</v>
      </c>
      <c r="B305" s="1">
        <v>45805</v>
      </c>
      <c r="C305" s="7">
        <f>YEAR(Table2[[#This Row],[Date]])</f>
        <v>2025</v>
      </c>
      <c r="D305" t="s">
        <v>69</v>
      </c>
      <c r="E305" t="s">
        <v>48</v>
      </c>
      <c r="F305" t="s">
        <v>44</v>
      </c>
      <c r="G305" t="b">
        <v>0</v>
      </c>
      <c r="H305" s="10">
        <v>3</v>
      </c>
      <c r="I305" s="10">
        <v>4</v>
      </c>
      <c r="J305" t="s">
        <v>54</v>
      </c>
      <c r="K305" s="9">
        <v>39243</v>
      </c>
      <c r="L305" t="s">
        <v>161</v>
      </c>
      <c r="M305" t="s">
        <v>27</v>
      </c>
      <c r="N305" s="7">
        <v>35</v>
      </c>
      <c r="O305" s="10">
        <v>0</v>
      </c>
      <c r="P305" s="7">
        <v>0</v>
      </c>
      <c r="Q305" t="s">
        <v>51</v>
      </c>
      <c r="R305" s="9">
        <v>93766</v>
      </c>
      <c r="S305" s="10">
        <v>6.29</v>
      </c>
      <c r="T305" s="9">
        <v>167970.61</v>
      </c>
      <c r="U305" s="6">
        <v>51</v>
      </c>
      <c r="V305" t="s">
        <v>29</v>
      </c>
    </row>
    <row r="306" spans="1:22" x14ac:dyDescent="0.25">
      <c r="A306" t="s">
        <v>461</v>
      </c>
      <c r="B306" s="1">
        <v>45346</v>
      </c>
      <c r="C306" s="7">
        <f>YEAR(Table2[[#This Row],[Date]])</f>
        <v>2024</v>
      </c>
      <c r="D306" t="s">
        <v>97</v>
      </c>
      <c r="E306" t="s">
        <v>66</v>
      </c>
      <c r="F306" t="s">
        <v>38</v>
      </c>
      <c r="G306" t="b">
        <v>0</v>
      </c>
      <c r="H306" s="10">
        <v>3</v>
      </c>
      <c r="I306" s="10">
        <v>4</v>
      </c>
      <c r="J306" t="s">
        <v>54</v>
      </c>
      <c r="K306" s="9">
        <v>26914</v>
      </c>
      <c r="L306" t="s">
        <v>399</v>
      </c>
      <c r="M306" t="s">
        <v>34</v>
      </c>
      <c r="N306" s="7">
        <v>93</v>
      </c>
      <c r="O306" s="10">
        <v>1</v>
      </c>
      <c r="P306" s="7">
        <v>2</v>
      </c>
      <c r="Q306" t="s">
        <v>46</v>
      </c>
      <c r="R306" s="9">
        <v>78783</v>
      </c>
      <c r="S306" s="10">
        <v>9.09</v>
      </c>
      <c r="T306" s="9">
        <v>92949.66</v>
      </c>
      <c r="U306" s="6">
        <v>42</v>
      </c>
      <c r="V306" t="s">
        <v>42</v>
      </c>
    </row>
    <row r="307" spans="1:22" x14ac:dyDescent="0.25">
      <c r="A307" t="s">
        <v>462</v>
      </c>
      <c r="B307" s="1">
        <v>45893</v>
      </c>
      <c r="C307" s="7">
        <f>YEAR(Table2[[#This Row],[Date]])</f>
        <v>2025</v>
      </c>
      <c r="D307" t="s">
        <v>36</v>
      </c>
      <c r="E307" t="s">
        <v>72</v>
      </c>
      <c r="F307" t="s">
        <v>44</v>
      </c>
      <c r="G307" t="b">
        <v>1</v>
      </c>
      <c r="H307" s="10">
        <v>0</v>
      </c>
      <c r="I307" s="10">
        <v>0</v>
      </c>
      <c r="J307" t="s">
        <v>39</v>
      </c>
      <c r="K307" s="9">
        <v>53770</v>
      </c>
      <c r="L307" t="s">
        <v>308</v>
      </c>
      <c r="M307" t="s">
        <v>34</v>
      </c>
      <c r="N307" s="7">
        <v>86</v>
      </c>
      <c r="O307" s="10">
        <v>2</v>
      </c>
      <c r="P307" s="7">
        <v>0</v>
      </c>
      <c r="Q307" t="s">
        <v>46</v>
      </c>
      <c r="R307" s="9">
        <v>28886</v>
      </c>
      <c r="S307" s="10">
        <v>4.38</v>
      </c>
      <c r="T307" s="9">
        <v>160843.91</v>
      </c>
      <c r="U307" s="6">
        <v>30</v>
      </c>
      <c r="V307" t="s">
        <v>29</v>
      </c>
    </row>
    <row r="308" spans="1:22" x14ac:dyDescent="0.25">
      <c r="A308" t="s">
        <v>463</v>
      </c>
      <c r="B308" s="1">
        <v>45960</v>
      </c>
      <c r="C308" s="7">
        <f>YEAR(Table2[[#This Row],[Date]])</f>
        <v>2025</v>
      </c>
      <c r="D308" t="s">
        <v>89</v>
      </c>
      <c r="E308" t="s">
        <v>23</v>
      </c>
      <c r="F308" t="s">
        <v>38</v>
      </c>
      <c r="G308" t="b">
        <v>1</v>
      </c>
      <c r="H308" s="10">
        <v>4</v>
      </c>
      <c r="I308" s="10">
        <v>0</v>
      </c>
      <c r="J308" t="s">
        <v>25</v>
      </c>
      <c r="K308" s="9">
        <v>20418</v>
      </c>
      <c r="L308" t="s">
        <v>331</v>
      </c>
      <c r="M308" t="s">
        <v>50</v>
      </c>
      <c r="N308" s="7">
        <v>27</v>
      </c>
      <c r="O308" s="10">
        <v>0</v>
      </c>
      <c r="P308" s="7">
        <v>0</v>
      </c>
      <c r="Q308" t="s">
        <v>81</v>
      </c>
      <c r="R308" s="9">
        <v>103709</v>
      </c>
      <c r="S308" s="10">
        <v>4.07</v>
      </c>
      <c r="T308" s="9">
        <v>28597.119999999999</v>
      </c>
      <c r="U308" s="6">
        <v>55</v>
      </c>
      <c r="V308" t="s">
        <v>29</v>
      </c>
    </row>
    <row r="309" spans="1:22" x14ac:dyDescent="0.25">
      <c r="A309" t="s">
        <v>464</v>
      </c>
      <c r="B309" s="1">
        <v>46005</v>
      </c>
      <c r="C309" s="7">
        <f>YEAR(Table2[[#This Row],[Date]])</f>
        <v>2025</v>
      </c>
      <c r="D309" t="s">
        <v>77</v>
      </c>
      <c r="E309" t="s">
        <v>66</v>
      </c>
      <c r="F309" t="s">
        <v>24</v>
      </c>
      <c r="G309" t="b">
        <v>0</v>
      </c>
      <c r="H309" s="10">
        <v>2</v>
      </c>
      <c r="I309" s="10">
        <v>2</v>
      </c>
      <c r="J309" t="s">
        <v>39</v>
      </c>
      <c r="K309" s="9">
        <v>10539</v>
      </c>
      <c r="L309" t="s">
        <v>293</v>
      </c>
      <c r="M309" t="s">
        <v>27</v>
      </c>
      <c r="N309" s="7">
        <v>14</v>
      </c>
      <c r="O309" s="10">
        <v>0</v>
      </c>
      <c r="P309" s="7">
        <v>1</v>
      </c>
      <c r="Q309" t="s">
        <v>81</v>
      </c>
      <c r="R309" s="9">
        <v>14690</v>
      </c>
      <c r="S309" s="10">
        <v>4.9800000000000004</v>
      </c>
      <c r="T309" s="9">
        <v>222257.6</v>
      </c>
      <c r="U309" s="6">
        <v>45</v>
      </c>
      <c r="V309" t="s">
        <v>29</v>
      </c>
    </row>
    <row r="310" spans="1:22" x14ac:dyDescent="0.25">
      <c r="A310" t="s">
        <v>465</v>
      </c>
      <c r="B310" s="1">
        <v>45348</v>
      </c>
      <c r="C310" s="7">
        <f>YEAR(Table2[[#This Row],[Date]])</f>
        <v>2024</v>
      </c>
      <c r="D310" t="s">
        <v>22</v>
      </c>
      <c r="E310" t="s">
        <v>23</v>
      </c>
      <c r="F310" t="s">
        <v>38</v>
      </c>
      <c r="G310" t="b">
        <v>1</v>
      </c>
      <c r="H310" s="10">
        <v>5</v>
      </c>
      <c r="I310" s="10">
        <v>3</v>
      </c>
      <c r="J310" t="s">
        <v>25</v>
      </c>
      <c r="K310" s="9">
        <v>12319</v>
      </c>
      <c r="L310" t="s">
        <v>353</v>
      </c>
      <c r="M310" t="s">
        <v>50</v>
      </c>
      <c r="N310" s="7">
        <v>95</v>
      </c>
      <c r="O310" s="10">
        <v>0</v>
      </c>
      <c r="P310" s="7">
        <v>0</v>
      </c>
      <c r="Q310" t="s">
        <v>28</v>
      </c>
      <c r="R310" s="9">
        <v>92730</v>
      </c>
      <c r="S310" s="10">
        <v>7.12</v>
      </c>
      <c r="T310" s="9">
        <v>160563.85</v>
      </c>
      <c r="U310" s="6">
        <v>60</v>
      </c>
      <c r="V310" t="s">
        <v>42</v>
      </c>
    </row>
    <row r="311" spans="1:22" x14ac:dyDescent="0.25">
      <c r="A311" t="s">
        <v>466</v>
      </c>
      <c r="B311" s="1">
        <v>45525</v>
      </c>
      <c r="C311" s="7">
        <f>YEAR(Table2[[#This Row],[Date]])</f>
        <v>2024</v>
      </c>
      <c r="D311" t="s">
        <v>31</v>
      </c>
      <c r="E311" t="s">
        <v>32</v>
      </c>
      <c r="F311" t="s">
        <v>38</v>
      </c>
      <c r="G311" t="b">
        <v>0</v>
      </c>
      <c r="H311" s="10">
        <v>2</v>
      </c>
      <c r="I311" s="10">
        <v>2</v>
      </c>
      <c r="J311" t="s">
        <v>39</v>
      </c>
      <c r="K311" s="9">
        <v>37388</v>
      </c>
      <c r="L311" t="s">
        <v>327</v>
      </c>
      <c r="M311" t="s">
        <v>50</v>
      </c>
      <c r="N311" s="7">
        <v>11</v>
      </c>
      <c r="O311" s="10">
        <v>2</v>
      </c>
      <c r="P311" s="7">
        <v>0</v>
      </c>
      <c r="Q311" t="s">
        <v>62</v>
      </c>
      <c r="R311" s="9">
        <v>43997</v>
      </c>
      <c r="S311" s="10">
        <v>1.33</v>
      </c>
      <c r="T311" s="9">
        <v>96386.04</v>
      </c>
      <c r="U311" s="6">
        <v>18</v>
      </c>
      <c r="V311" t="s">
        <v>29</v>
      </c>
    </row>
    <row r="312" spans="1:22" x14ac:dyDescent="0.25">
      <c r="A312" t="s">
        <v>467</v>
      </c>
      <c r="B312" s="1">
        <v>45661</v>
      </c>
      <c r="C312" s="7">
        <f>YEAR(Table2[[#This Row],[Date]])</f>
        <v>2025</v>
      </c>
      <c r="D312" t="s">
        <v>31</v>
      </c>
      <c r="E312" t="s">
        <v>98</v>
      </c>
      <c r="F312" t="s">
        <v>24</v>
      </c>
      <c r="G312" t="b">
        <v>0</v>
      </c>
      <c r="H312" s="10">
        <v>4</v>
      </c>
      <c r="I312" s="10">
        <v>0</v>
      </c>
      <c r="J312" t="s">
        <v>25</v>
      </c>
      <c r="K312" s="9">
        <v>6149</v>
      </c>
      <c r="L312" t="s">
        <v>121</v>
      </c>
      <c r="M312" t="s">
        <v>27</v>
      </c>
      <c r="N312" s="7">
        <v>85</v>
      </c>
      <c r="O312" s="10">
        <v>0</v>
      </c>
      <c r="P312" s="7">
        <v>0</v>
      </c>
      <c r="Q312" t="s">
        <v>46</v>
      </c>
      <c r="R312" s="9">
        <v>86403</v>
      </c>
      <c r="S312" s="10">
        <v>5.88</v>
      </c>
      <c r="T312" s="9">
        <v>50932.72</v>
      </c>
      <c r="U312" s="6">
        <v>53</v>
      </c>
      <c r="V312" t="s">
        <v>152</v>
      </c>
    </row>
    <row r="313" spans="1:22" x14ac:dyDescent="0.25">
      <c r="A313" t="s">
        <v>468</v>
      </c>
      <c r="B313" s="1">
        <v>45887</v>
      </c>
      <c r="C313" s="7">
        <f>YEAR(Table2[[#This Row],[Date]])</f>
        <v>2025</v>
      </c>
      <c r="D313" t="s">
        <v>31</v>
      </c>
      <c r="E313" t="s">
        <v>66</v>
      </c>
      <c r="F313" t="s">
        <v>38</v>
      </c>
      <c r="G313" t="b">
        <v>0</v>
      </c>
      <c r="H313" s="10">
        <v>4</v>
      </c>
      <c r="I313" s="10">
        <v>3</v>
      </c>
      <c r="J313" t="s">
        <v>25</v>
      </c>
      <c r="K313" s="9">
        <v>46566</v>
      </c>
      <c r="L313" t="s">
        <v>310</v>
      </c>
      <c r="M313" t="s">
        <v>34</v>
      </c>
      <c r="N313" s="7">
        <v>47</v>
      </c>
      <c r="O313" s="10">
        <v>2</v>
      </c>
      <c r="P313" s="7">
        <v>1</v>
      </c>
      <c r="Q313" t="s">
        <v>51</v>
      </c>
      <c r="R313" s="9">
        <v>31881</v>
      </c>
      <c r="S313" s="10">
        <v>2.39</v>
      </c>
      <c r="T313" s="9">
        <v>172181.82</v>
      </c>
      <c r="U313" s="6">
        <v>28</v>
      </c>
      <c r="V313" t="s">
        <v>42</v>
      </c>
    </row>
    <row r="314" spans="1:22" x14ac:dyDescent="0.25">
      <c r="A314" t="s">
        <v>469</v>
      </c>
      <c r="B314" s="1">
        <v>45462</v>
      </c>
      <c r="C314" s="7">
        <f>YEAR(Table2[[#This Row],[Date]])</f>
        <v>2024</v>
      </c>
      <c r="D314" t="s">
        <v>69</v>
      </c>
      <c r="E314" t="s">
        <v>37</v>
      </c>
      <c r="F314" t="s">
        <v>44</v>
      </c>
      <c r="G314" t="b">
        <v>0</v>
      </c>
      <c r="H314" s="10">
        <v>2</v>
      </c>
      <c r="I314" s="10">
        <v>2</v>
      </c>
      <c r="J314" t="s">
        <v>39</v>
      </c>
      <c r="K314" s="9">
        <v>31210</v>
      </c>
      <c r="L314" t="s">
        <v>90</v>
      </c>
      <c r="M314" t="s">
        <v>27</v>
      </c>
      <c r="N314" s="7">
        <v>71</v>
      </c>
      <c r="O314" s="10">
        <v>2</v>
      </c>
      <c r="P314" s="7">
        <v>0</v>
      </c>
      <c r="Q314" t="s">
        <v>28</v>
      </c>
      <c r="R314" s="9">
        <v>5820</v>
      </c>
      <c r="S314" s="10">
        <v>6.24</v>
      </c>
      <c r="T314" s="9">
        <v>165679.25</v>
      </c>
      <c r="U314" s="6">
        <v>34</v>
      </c>
      <c r="V314" t="s">
        <v>152</v>
      </c>
    </row>
    <row r="315" spans="1:22" x14ac:dyDescent="0.25">
      <c r="A315" t="s">
        <v>470</v>
      </c>
      <c r="B315" s="1">
        <v>45662</v>
      </c>
      <c r="C315" s="7">
        <f>YEAR(Table2[[#This Row],[Date]])</f>
        <v>2025</v>
      </c>
      <c r="D315" t="s">
        <v>31</v>
      </c>
      <c r="E315" t="s">
        <v>83</v>
      </c>
      <c r="F315" t="s">
        <v>38</v>
      </c>
      <c r="G315" t="b">
        <v>0</v>
      </c>
      <c r="H315" s="10">
        <v>2</v>
      </c>
      <c r="I315" s="10">
        <v>3</v>
      </c>
      <c r="J315" t="s">
        <v>54</v>
      </c>
      <c r="K315" s="9">
        <v>50551</v>
      </c>
      <c r="L315" t="s">
        <v>331</v>
      </c>
      <c r="M315" t="s">
        <v>50</v>
      </c>
      <c r="N315" s="7">
        <v>75</v>
      </c>
      <c r="O315" s="10">
        <v>0</v>
      </c>
      <c r="P315" s="7">
        <v>1</v>
      </c>
      <c r="Q315" t="s">
        <v>41</v>
      </c>
      <c r="R315" s="9">
        <v>16417</v>
      </c>
      <c r="S315" s="10">
        <v>3.59</v>
      </c>
      <c r="T315" s="9">
        <v>182898.1</v>
      </c>
      <c r="U315" s="6">
        <v>53</v>
      </c>
      <c r="V315" t="s">
        <v>29</v>
      </c>
    </row>
    <row r="316" spans="1:22" x14ac:dyDescent="0.25">
      <c r="A316" t="s">
        <v>471</v>
      </c>
      <c r="B316" s="1">
        <v>45665</v>
      </c>
      <c r="C316" s="7">
        <f>YEAR(Table2[[#This Row],[Date]])</f>
        <v>2025</v>
      </c>
      <c r="D316" t="s">
        <v>31</v>
      </c>
      <c r="E316" t="s">
        <v>98</v>
      </c>
      <c r="F316" t="s">
        <v>24</v>
      </c>
      <c r="G316" t="b">
        <v>1</v>
      </c>
      <c r="H316" s="10">
        <v>1</v>
      </c>
      <c r="I316" s="10">
        <v>2</v>
      </c>
      <c r="J316" t="s">
        <v>54</v>
      </c>
      <c r="K316" s="9">
        <v>26153</v>
      </c>
      <c r="L316" t="s">
        <v>86</v>
      </c>
      <c r="M316" t="s">
        <v>27</v>
      </c>
      <c r="N316" s="7">
        <v>71</v>
      </c>
      <c r="O316" s="10">
        <v>0</v>
      </c>
      <c r="P316" s="7">
        <v>1</v>
      </c>
      <c r="Q316" t="s">
        <v>41</v>
      </c>
      <c r="R316" s="9">
        <v>77481</v>
      </c>
      <c r="S316" s="10">
        <v>8.25</v>
      </c>
      <c r="T316" s="9">
        <v>238000.02</v>
      </c>
      <c r="U316" s="6">
        <v>30</v>
      </c>
      <c r="V316" t="s">
        <v>29</v>
      </c>
    </row>
    <row r="317" spans="1:22" x14ac:dyDescent="0.25">
      <c r="A317" t="s">
        <v>472</v>
      </c>
      <c r="B317" s="1">
        <v>45800</v>
      </c>
      <c r="C317" s="7">
        <f>YEAR(Table2[[#This Row],[Date]])</f>
        <v>2025</v>
      </c>
      <c r="D317" t="s">
        <v>89</v>
      </c>
      <c r="E317" t="s">
        <v>23</v>
      </c>
      <c r="F317" t="s">
        <v>38</v>
      </c>
      <c r="G317" t="b">
        <v>0</v>
      </c>
      <c r="H317" s="10">
        <v>0</v>
      </c>
      <c r="I317" s="10">
        <v>0</v>
      </c>
      <c r="J317" t="s">
        <v>39</v>
      </c>
      <c r="K317" s="9">
        <v>41081</v>
      </c>
      <c r="L317" t="s">
        <v>115</v>
      </c>
      <c r="M317" t="s">
        <v>27</v>
      </c>
      <c r="N317" s="7">
        <v>55</v>
      </c>
      <c r="O317" s="10">
        <v>0</v>
      </c>
      <c r="P317" s="7">
        <v>1</v>
      </c>
      <c r="Q317" t="s">
        <v>62</v>
      </c>
      <c r="R317" s="9">
        <v>110206</v>
      </c>
      <c r="S317" s="10">
        <v>6.67</v>
      </c>
      <c r="T317" s="9">
        <v>135836.48000000001</v>
      </c>
      <c r="U317" s="6">
        <v>49</v>
      </c>
      <c r="V317" t="s">
        <v>29</v>
      </c>
    </row>
    <row r="318" spans="1:22" x14ac:dyDescent="0.25">
      <c r="A318" t="s">
        <v>473</v>
      </c>
      <c r="B318" s="1">
        <v>45551</v>
      </c>
      <c r="C318" s="7">
        <f>YEAR(Table2[[#This Row],[Date]])</f>
        <v>2024</v>
      </c>
      <c r="D318" t="s">
        <v>36</v>
      </c>
      <c r="E318" t="s">
        <v>23</v>
      </c>
      <c r="F318" t="s">
        <v>38</v>
      </c>
      <c r="G318" t="b">
        <v>1</v>
      </c>
      <c r="H318" s="10">
        <v>3</v>
      </c>
      <c r="I318" s="10">
        <v>2</v>
      </c>
      <c r="J318" t="s">
        <v>25</v>
      </c>
      <c r="K318" s="9">
        <v>51527</v>
      </c>
      <c r="L318" t="s">
        <v>103</v>
      </c>
      <c r="M318" t="s">
        <v>61</v>
      </c>
      <c r="N318" s="7">
        <v>88</v>
      </c>
      <c r="O318" s="10">
        <v>0</v>
      </c>
      <c r="P318" s="7">
        <v>1</v>
      </c>
      <c r="Q318" t="s">
        <v>81</v>
      </c>
      <c r="R318" s="9">
        <v>81664</v>
      </c>
      <c r="S318" s="10">
        <v>3.59</v>
      </c>
      <c r="T318" s="9">
        <v>53378.19</v>
      </c>
      <c r="U318" s="6">
        <v>22</v>
      </c>
      <c r="V318" t="s">
        <v>29</v>
      </c>
    </row>
    <row r="319" spans="1:22" x14ac:dyDescent="0.25">
      <c r="A319" t="s">
        <v>474</v>
      </c>
      <c r="B319" s="1">
        <v>45845</v>
      </c>
      <c r="C319" s="7">
        <f>YEAR(Table2[[#This Row],[Date]])</f>
        <v>2025</v>
      </c>
      <c r="D319" t="s">
        <v>22</v>
      </c>
      <c r="E319" t="s">
        <v>23</v>
      </c>
      <c r="F319" t="s">
        <v>24</v>
      </c>
      <c r="G319" t="b">
        <v>0</v>
      </c>
      <c r="H319" s="10">
        <v>4</v>
      </c>
      <c r="I319" s="10">
        <v>0</v>
      </c>
      <c r="J319" t="s">
        <v>25</v>
      </c>
      <c r="K319" s="9">
        <v>33719</v>
      </c>
      <c r="L319" t="s">
        <v>155</v>
      </c>
      <c r="M319" t="s">
        <v>61</v>
      </c>
      <c r="N319" s="7">
        <v>39</v>
      </c>
      <c r="O319" s="10">
        <v>2</v>
      </c>
      <c r="P319" s="7">
        <v>1</v>
      </c>
      <c r="Q319" t="s">
        <v>46</v>
      </c>
      <c r="R319" s="9">
        <v>134786</v>
      </c>
      <c r="S319" s="10">
        <v>8.36</v>
      </c>
      <c r="T319" s="9">
        <v>63518.38</v>
      </c>
      <c r="U319" s="6">
        <v>19</v>
      </c>
      <c r="V319" t="s">
        <v>29</v>
      </c>
    </row>
    <row r="320" spans="1:22" x14ac:dyDescent="0.25">
      <c r="A320" t="s">
        <v>475</v>
      </c>
      <c r="B320" s="1">
        <v>45306</v>
      </c>
      <c r="C320" s="7">
        <f>YEAR(Table2[[#This Row],[Date]])</f>
        <v>2024</v>
      </c>
      <c r="D320" t="s">
        <v>36</v>
      </c>
      <c r="E320" t="s">
        <v>98</v>
      </c>
      <c r="F320" t="s">
        <v>24</v>
      </c>
      <c r="G320" t="b">
        <v>1</v>
      </c>
      <c r="H320" s="10">
        <v>1</v>
      </c>
      <c r="I320" s="10">
        <v>1</v>
      </c>
      <c r="J320" t="s">
        <v>39</v>
      </c>
      <c r="K320" s="9">
        <v>43233</v>
      </c>
      <c r="L320" t="s">
        <v>45</v>
      </c>
      <c r="M320" t="s">
        <v>50</v>
      </c>
      <c r="N320" s="7">
        <v>25</v>
      </c>
      <c r="O320" s="10">
        <v>1</v>
      </c>
      <c r="P320" s="7">
        <v>0</v>
      </c>
      <c r="Q320" t="s">
        <v>87</v>
      </c>
      <c r="R320" s="9">
        <v>138781</v>
      </c>
      <c r="S320" s="10">
        <v>7.67</v>
      </c>
      <c r="T320" s="9">
        <v>137338.66</v>
      </c>
      <c r="U320" s="6">
        <v>47</v>
      </c>
      <c r="V320" t="s">
        <v>42</v>
      </c>
    </row>
    <row r="321" spans="1:22" x14ac:dyDescent="0.25">
      <c r="A321" t="s">
        <v>476</v>
      </c>
      <c r="B321" s="1">
        <v>45928</v>
      </c>
      <c r="C321" s="7">
        <f>YEAR(Table2[[#This Row],[Date]])</f>
        <v>2025</v>
      </c>
      <c r="D321" t="s">
        <v>89</v>
      </c>
      <c r="E321" t="s">
        <v>32</v>
      </c>
      <c r="F321" t="s">
        <v>38</v>
      </c>
      <c r="G321" t="b">
        <v>1</v>
      </c>
      <c r="H321" s="10">
        <v>2</v>
      </c>
      <c r="I321" s="10">
        <v>1</v>
      </c>
      <c r="J321" t="s">
        <v>25</v>
      </c>
      <c r="K321" s="9">
        <v>41552</v>
      </c>
      <c r="L321" t="s">
        <v>200</v>
      </c>
      <c r="M321" t="s">
        <v>27</v>
      </c>
      <c r="N321" s="7">
        <v>86</v>
      </c>
      <c r="O321" s="10">
        <v>0</v>
      </c>
      <c r="P321" s="7">
        <v>1</v>
      </c>
      <c r="Q321" t="s">
        <v>28</v>
      </c>
      <c r="R321" s="9">
        <v>135947</v>
      </c>
      <c r="S321" s="10">
        <v>4.76</v>
      </c>
      <c r="T321" s="9">
        <v>168817.74</v>
      </c>
      <c r="U321" s="6">
        <v>47</v>
      </c>
      <c r="V321" t="s">
        <v>29</v>
      </c>
    </row>
    <row r="322" spans="1:22" x14ac:dyDescent="0.25">
      <c r="A322" t="s">
        <v>477</v>
      </c>
      <c r="B322" s="1">
        <v>45583</v>
      </c>
      <c r="C322" s="7">
        <f>YEAR(Table2[[#This Row],[Date]])</f>
        <v>2024</v>
      </c>
      <c r="D322" t="s">
        <v>36</v>
      </c>
      <c r="E322" t="s">
        <v>32</v>
      </c>
      <c r="F322" t="s">
        <v>44</v>
      </c>
      <c r="G322" t="b">
        <v>0</v>
      </c>
      <c r="H322" s="10">
        <v>5</v>
      </c>
      <c r="I322" s="10">
        <v>2</v>
      </c>
      <c r="J322" t="s">
        <v>25</v>
      </c>
      <c r="K322" s="9">
        <v>49790</v>
      </c>
      <c r="L322" t="s">
        <v>221</v>
      </c>
      <c r="M322" t="s">
        <v>34</v>
      </c>
      <c r="N322" s="7">
        <v>28</v>
      </c>
      <c r="O322" s="10">
        <v>1</v>
      </c>
      <c r="P322" s="7">
        <v>1</v>
      </c>
      <c r="Q322" t="s">
        <v>87</v>
      </c>
      <c r="R322" s="9">
        <v>4070</v>
      </c>
      <c r="S322" s="10">
        <v>3.62</v>
      </c>
      <c r="T322" s="9">
        <v>154353.24</v>
      </c>
      <c r="U322" s="6">
        <v>48</v>
      </c>
      <c r="V322" t="s">
        <v>29</v>
      </c>
    </row>
    <row r="323" spans="1:22" x14ac:dyDescent="0.25">
      <c r="A323" t="s">
        <v>478</v>
      </c>
      <c r="B323" s="1">
        <v>45778</v>
      </c>
      <c r="C323" s="7">
        <f>YEAR(Table2[[#This Row],[Date]])</f>
        <v>2025</v>
      </c>
      <c r="D323" t="s">
        <v>69</v>
      </c>
      <c r="E323" t="s">
        <v>37</v>
      </c>
      <c r="F323" t="s">
        <v>24</v>
      </c>
      <c r="G323" t="b">
        <v>1</v>
      </c>
      <c r="H323" s="10">
        <v>5</v>
      </c>
      <c r="I323" s="10">
        <v>2</v>
      </c>
      <c r="J323" t="s">
        <v>25</v>
      </c>
      <c r="K323" s="9">
        <v>37233</v>
      </c>
      <c r="L323" t="s">
        <v>238</v>
      </c>
      <c r="M323" t="s">
        <v>27</v>
      </c>
      <c r="N323" s="7">
        <v>20</v>
      </c>
      <c r="O323" s="10">
        <v>0</v>
      </c>
      <c r="P323" s="7">
        <v>1</v>
      </c>
      <c r="Q323" t="s">
        <v>51</v>
      </c>
      <c r="R323" s="9">
        <v>21160</v>
      </c>
      <c r="S323" s="10">
        <v>5.3</v>
      </c>
      <c r="T323" s="9">
        <v>153283.19</v>
      </c>
      <c r="U323" s="6">
        <v>33</v>
      </c>
      <c r="V323" t="s">
        <v>42</v>
      </c>
    </row>
    <row r="324" spans="1:22" x14ac:dyDescent="0.25">
      <c r="A324" t="s">
        <v>479</v>
      </c>
      <c r="B324" s="1">
        <v>45687</v>
      </c>
      <c r="C324" s="7">
        <f>YEAR(Table2[[#This Row],[Date]])</f>
        <v>2025</v>
      </c>
      <c r="D324" t="s">
        <v>53</v>
      </c>
      <c r="E324" t="s">
        <v>98</v>
      </c>
      <c r="F324" t="s">
        <v>44</v>
      </c>
      <c r="G324" t="b">
        <v>1</v>
      </c>
      <c r="H324" s="10">
        <v>2</v>
      </c>
      <c r="I324" s="10">
        <v>2</v>
      </c>
      <c r="J324" t="s">
        <v>39</v>
      </c>
      <c r="K324" s="9">
        <v>51504</v>
      </c>
      <c r="L324" t="s">
        <v>174</v>
      </c>
      <c r="M324" t="s">
        <v>27</v>
      </c>
      <c r="N324" s="7">
        <v>56</v>
      </c>
      <c r="O324" s="10">
        <v>2</v>
      </c>
      <c r="P324" s="7">
        <v>1</v>
      </c>
      <c r="Q324" t="s">
        <v>46</v>
      </c>
      <c r="R324" s="9">
        <v>41670</v>
      </c>
      <c r="S324" s="10">
        <v>4.7300000000000004</v>
      </c>
      <c r="T324" s="9">
        <v>235715.67</v>
      </c>
      <c r="U324" s="6">
        <v>40</v>
      </c>
      <c r="V324" t="s">
        <v>29</v>
      </c>
    </row>
    <row r="325" spans="1:22" x14ac:dyDescent="0.25">
      <c r="A325" t="s">
        <v>480</v>
      </c>
      <c r="B325" s="1">
        <v>45436</v>
      </c>
      <c r="C325" s="7">
        <f>YEAR(Table2[[#This Row],[Date]])</f>
        <v>2024</v>
      </c>
      <c r="D325" t="s">
        <v>31</v>
      </c>
      <c r="E325" t="s">
        <v>23</v>
      </c>
      <c r="F325" t="s">
        <v>24</v>
      </c>
      <c r="G325" t="b">
        <v>1</v>
      </c>
      <c r="H325" s="10">
        <v>3</v>
      </c>
      <c r="I325" s="10">
        <v>2</v>
      </c>
      <c r="J325" t="s">
        <v>25</v>
      </c>
      <c r="K325" s="9">
        <v>18581</v>
      </c>
      <c r="L325" t="s">
        <v>353</v>
      </c>
      <c r="M325" t="s">
        <v>27</v>
      </c>
      <c r="N325" s="7">
        <v>13</v>
      </c>
      <c r="O325" s="10">
        <v>0</v>
      </c>
      <c r="P325" s="7">
        <v>1</v>
      </c>
      <c r="Q325" t="s">
        <v>51</v>
      </c>
      <c r="R325" s="9">
        <v>24151</v>
      </c>
      <c r="S325" s="10">
        <v>2.66</v>
      </c>
      <c r="T325" s="9">
        <v>129237.36</v>
      </c>
      <c r="U325" s="6">
        <v>42</v>
      </c>
      <c r="V325" t="s">
        <v>29</v>
      </c>
    </row>
    <row r="326" spans="1:22" x14ac:dyDescent="0.25">
      <c r="A326" t="s">
        <v>481</v>
      </c>
      <c r="B326" s="1">
        <v>45714</v>
      </c>
      <c r="C326" s="7">
        <f>YEAR(Table2[[#This Row],[Date]])</f>
        <v>2025</v>
      </c>
      <c r="D326" t="s">
        <v>97</v>
      </c>
      <c r="E326" t="s">
        <v>98</v>
      </c>
      <c r="F326" t="s">
        <v>38</v>
      </c>
      <c r="G326" t="b">
        <v>0</v>
      </c>
      <c r="H326" s="10">
        <v>1</v>
      </c>
      <c r="I326" s="10">
        <v>1</v>
      </c>
      <c r="J326" t="s">
        <v>39</v>
      </c>
      <c r="K326" s="9">
        <v>24263</v>
      </c>
      <c r="L326" t="s">
        <v>109</v>
      </c>
      <c r="M326" t="s">
        <v>50</v>
      </c>
      <c r="N326" s="7">
        <v>26</v>
      </c>
      <c r="O326" s="10">
        <v>2</v>
      </c>
      <c r="P326" s="7">
        <v>0</v>
      </c>
      <c r="Q326" t="s">
        <v>87</v>
      </c>
      <c r="R326" s="9">
        <v>14233</v>
      </c>
      <c r="S326" s="10">
        <v>6.27</v>
      </c>
      <c r="T326" s="9">
        <v>113438.03</v>
      </c>
      <c r="U326" s="6">
        <v>29</v>
      </c>
      <c r="V326" t="s">
        <v>29</v>
      </c>
    </row>
    <row r="327" spans="1:22" x14ac:dyDescent="0.25">
      <c r="A327" t="s">
        <v>482</v>
      </c>
      <c r="B327" s="1">
        <v>45503</v>
      </c>
      <c r="C327" s="7">
        <f>YEAR(Table2[[#This Row],[Date]])</f>
        <v>2024</v>
      </c>
      <c r="D327" t="s">
        <v>31</v>
      </c>
      <c r="E327" t="s">
        <v>48</v>
      </c>
      <c r="F327" t="s">
        <v>24</v>
      </c>
      <c r="G327" t="b">
        <v>0</v>
      </c>
      <c r="H327" s="10">
        <v>4</v>
      </c>
      <c r="I327" s="10">
        <v>2</v>
      </c>
      <c r="J327" t="s">
        <v>25</v>
      </c>
      <c r="K327" s="9">
        <v>47258</v>
      </c>
      <c r="L327" t="s">
        <v>155</v>
      </c>
      <c r="M327" t="s">
        <v>27</v>
      </c>
      <c r="N327" s="7">
        <v>29</v>
      </c>
      <c r="O327" s="10">
        <v>0</v>
      </c>
      <c r="P327" s="7">
        <v>1</v>
      </c>
      <c r="Q327" t="s">
        <v>87</v>
      </c>
      <c r="R327" s="9">
        <v>126333</v>
      </c>
      <c r="S327" s="10">
        <v>0.81</v>
      </c>
      <c r="T327" s="9">
        <v>220500.42</v>
      </c>
      <c r="U327" s="6">
        <v>30</v>
      </c>
      <c r="V327" t="s">
        <v>42</v>
      </c>
    </row>
    <row r="328" spans="1:22" x14ac:dyDescent="0.25">
      <c r="A328" t="s">
        <v>483</v>
      </c>
      <c r="B328" s="1">
        <v>45297</v>
      </c>
      <c r="C328" s="7">
        <f>YEAR(Table2[[#This Row],[Date]])</f>
        <v>2024</v>
      </c>
      <c r="D328" t="s">
        <v>53</v>
      </c>
      <c r="E328" t="s">
        <v>72</v>
      </c>
      <c r="F328" t="s">
        <v>24</v>
      </c>
      <c r="G328" t="b">
        <v>0</v>
      </c>
      <c r="H328" s="10">
        <v>5</v>
      </c>
      <c r="I328" s="10">
        <v>2</v>
      </c>
      <c r="J328" t="s">
        <v>25</v>
      </c>
      <c r="K328" s="9">
        <v>24122</v>
      </c>
      <c r="L328" t="s">
        <v>159</v>
      </c>
      <c r="M328" t="s">
        <v>27</v>
      </c>
      <c r="N328" s="7">
        <v>83</v>
      </c>
      <c r="O328" s="10">
        <v>0</v>
      </c>
      <c r="P328" s="7">
        <v>1</v>
      </c>
      <c r="Q328" t="s">
        <v>87</v>
      </c>
      <c r="R328" s="9">
        <v>12893</v>
      </c>
      <c r="S328" s="10">
        <v>8.26</v>
      </c>
      <c r="T328" s="9">
        <v>203045.09</v>
      </c>
      <c r="U328" s="6">
        <v>64</v>
      </c>
      <c r="V328" t="s">
        <v>42</v>
      </c>
    </row>
    <row r="329" spans="1:22" x14ac:dyDescent="0.25">
      <c r="A329" t="s">
        <v>484</v>
      </c>
      <c r="B329" s="1">
        <v>45627</v>
      </c>
      <c r="C329" s="7">
        <f>YEAR(Table2[[#This Row],[Date]])</f>
        <v>2024</v>
      </c>
      <c r="D329" t="s">
        <v>89</v>
      </c>
      <c r="E329" t="s">
        <v>98</v>
      </c>
      <c r="F329" t="s">
        <v>44</v>
      </c>
      <c r="G329" t="b">
        <v>1</v>
      </c>
      <c r="H329" s="10">
        <v>0</v>
      </c>
      <c r="I329" s="10">
        <v>2</v>
      </c>
      <c r="J329" t="s">
        <v>54</v>
      </c>
      <c r="K329" s="9">
        <v>53135</v>
      </c>
      <c r="L329" t="s">
        <v>80</v>
      </c>
      <c r="M329" t="s">
        <v>34</v>
      </c>
      <c r="N329" s="7">
        <v>20</v>
      </c>
      <c r="O329" s="10">
        <v>0</v>
      </c>
      <c r="P329" s="7">
        <v>0</v>
      </c>
      <c r="Q329" t="s">
        <v>51</v>
      </c>
      <c r="R329" s="9">
        <v>23001</v>
      </c>
      <c r="S329" s="10">
        <v>8.75</v>
      </c>
      <c r="T329" s="9">
        <v>158172.07</v>
      </c>
      <c r="U329" s="6">
        <v>52</v>
      </c>
      <c r="V329" t="s">
        <v>42</v>
      </c>
    </row>
    <row r="330" spans="1:22" x14ac:dyDescent="0.25">
      <c r="A330" t="s">
        <v>485</v>
      </c>
      <c r="B330" s="1">
        <v>45804</v>
      </c>
      <c r="C330" s="7">
        <f>YEAR(Table2[[#This Row],[Date]])</f>
        <v>2025</v>
      </c>
      <c r="D330" t="s">
        <v>77</v>
      </c>
      <c r="E330" t="s">
        <v>48</v>
      </c>
      <c r="F330" t="s">
        <v>38</v>
      </c>
      <c r="G330" t="b">
        <v>0</v>
      </c>
      <c r="H330" s="10">
        <v>0</v>
      </c>
      <c r="I330" s="10">
        <v>4</v>
      </c>
      <c r="J330" t="s">
        <v>54</v>
      </c>
      <c r="K330" s="9">
        <v>35212</v>
      </c>
      <c r="L330" t="s">
        <v>205</v>
      </c>
      <c r="M330" t="s">
        <v>50</v>
      </c>
      <c r="N330" s="7">
        <v>94</v>
      </c>
      <c r="O330" s="10">
        <v>2</v>
      </c>
      <c r="P330" s="7">
        <v>1</v>
      </c>
      <c r="Q330" t="s">
        <v>41</v>
      </c>
      <c r="R330" s="9">
        <v>108532</v>
      </c>
      <c r="S330" s="10">
        <v>7.13</v>
      </c>
      <c r="T330" s="9">
        <v>34559.199999999997</v>
      </c>
      <c r="U330" s="6">
        <v>52</v>
      </c>
      <c r="V330" t="s">
        <v>42</v>
      </c>
    </row>
    <row r="331" spans="1:22" x14ac:dyDescent="0.25">
      <c r="A331" t="s">
        <v>486</v>
      </c>
      <c r="B331" s="1">
        <v>45842</v>
      </c>
      <c r="C331" s="7">
        <f>YEAR(Table2[[#This Row],[Date]])</f>
        <v>2025</v>
      </c>
      <c r="D331" t="s">
        <v>77</v>
      </c>
      <c r="E331" t="s">
        <v>23</v>
      </c>
      <c r="F331" t="s">
        <v>38</v>
      </c>
      <c r="G331" t="b">
        <v>1</v>
      </c>
      <c r="H331" s="10">
        <v>3</v>
      </c>
      <c r="I331" s="10">
        <v>3</v>
      </c>
      <c r="J331" t="s">
        <v>39</v>
      </c>
      <c r="K331" s="9">
        <v>29291</v>
      </c>
      <c r="L331" t="s">
        <v>399</v>
      </c>
      <c r="M331" t="s">
        <v>34</v>
      </c>
      <c r="N331" s="7">
        <v>10</v>
      </c>
      <c r="O331" s="10">
        <v>0</v>
      </c>
      <c r="P331" s="7">
        <v>0</v>
      </c>
      <c r="Q331" t="s">
        <v>46</v>
      </c>
      <c r="R331" s="9">
        <v>30714</v>
      </c>
      <c r="S331" s="10">
        <v>9</v>
      </c>
      <c r="T331" s="9">
        <v>130281.71</v>
      </c>
      <c r="U331" s="6">
        <v>48</v>
      </c>
      <c r="V331" t="s">
        <v>42</v>
      </c>
    </row>
    <row r="332" spans="1:22" x14ac:dyDescent="0.25">
      <c r="A332" t="s">
        <v>487</v>
      </c>
      <c r="B332" s="1">
        <v>45680</v>
      </c>
      <c r="C332" s="7">
        <f>YEAR(Table2[[#This Row],[Date]])</f>
        <v>2025</v>
      </c>
      <c r="D332" t="s">
        <v>22</v>
      </c>
      <c r="E332" t="s">
        <v>23</v>
      </c>
      <c r="F332" t="s">
        <v>44</v>
      </c>
      <c r="G332" t="b">
        <v>0</v>
      </c>
      <c r="H332" s="10">
        <v>4</v>
      </c>
      <c r="I332" s="10">
        <v>1</v>
      </c>
      <c r="J332" t="s">
        <v>25</v>
      </c>
      <c r="K332" s="9">
        <v>8814</v>
      </c>
      <c r="L332" t="s">
        <v>334</v>
      </c>
      <c r="M332" t="s">
        <v>50</v>
      </c>
      <c r="N332" s="7">
        <v>28</v>
      </c>
      <c r="O332" s="10">
        <v>2</v>
      </c>
      <c r="P332" s="7">
        <v>0</v>
      </c>
      <c r="Q332" t="s">
        <v>81</v>
      </c>
      <c r="R332" s="9">
        <v>135545</v>
      </c>
      <c r="S332" s="10">
        <v>9.33</v>
      </c>
      <c r="T332" s="9">
        <v>57009.53</v>
      </c>
      <c r="U332" s="6">
        <v>59</v>
      </c>
      <c r="V332" t="s">
        <v>29</v>
      </c>
    </row>
    <row r="333" spans="1:22" x14ac:dyDescent="0.25">
      <c r="A333" t="s">
        <v>488</v>
      </c>
      <c r="B333" s="1">
        <v>45999</v>
      </c>
      <c r="C333" s="7">
        <f>YEAR(Table2[[#This Row],[Date]])</f>
        <v>2025</v>
      </c>
      <c r="D333" t="s">
        <v>77</v>
      </c>
      <c r="E333" t="s">
        <v>98</v>
      </c>
      <c r="F333" t="s">
        <v>24</v>
      </c>
      <c r="G333" t="b">
        <v>1</v>
      </c>
      <c r="H333" s="10">
        <v>3</v>
      </c>
      <c r="I333" s="10">
        <v>1</v>
      </c>
      <c r="J333" t="s">
        <v>25</v>
      </c>
      <c r="K333" s="9">
        <v>26912</v>
      </c>
      <c r="L333" t="s">
        <v>190</v>
      </c>
      <c r="M333" t="s">
        <v>61</v>
      </c>
      <c r="N333" s="7">
        <v>36</v>
      </c>
      <c r="O333" s="10">
        <v>0</v>
      </c>
      <c r="P333" s="7">
        <v>1</v>
      </c>
      <c r="Q333" t="s">
        <v>28</v>
      </c>
      <c r="R333" s="9">
        <v>72750</v>
      </c>
      <c r="S333" s="10">
        <v>1.8</v>
      </c>
      <c r="T333" s="9">
        <v>230647.89</v>
      </c>
      <c r="U333" s="6">
        <v>20</v>
      </c>
      <c r="V333" t="s">
        <v>29</v>
      </c>
    </row>
    <row r="334" spans="1:22" x14ac:dyDescent="0.25">
      <c r="A334" t="s">
        <v>489</v>
      </c>
      <c r="B334" s="1">
        <v>45519</v>
      </c>
      <c r="C334" s="7">
        <f>YEAR(Table2[[#This Row],[Date]])</f>
        <v>2024</v>
      </c>
      <c r="D334" t="s">
        <v>69</v>
      </c>
      <c r="E334" t="s">
        <v>83</v>
      </c>
      <c r="F334" t="s">
        <v>44</v>
      </c>
      <c r="G334" t="b">
        <v>0</v>
      </c>
      <c r="H334" s="10">
        <v>3</v>
      </c>
      <c r="I334" s="10">
        <v>3</v>
      </c>
      <c r="J334" t="s">
        <v>39</v>
      </c>
      <c r="K334" s="9">
        <v>48509</v>
      </c>
      <c r="L334" t="s">
        <v>141</v>
      </c>
      <c r="M334" t="s">
        <v>50</v>
      </c>
      <c r="N334" s="7">
        <v>43</v>
      </c>
      <c r="O334" s="10">
        <v>0</v>
      </c>
      <c r="P334" s="7">
        <v>0</v>
      </c>
      <c r="Q334" t="s">
        <v>46</v>
      </c>
      <c r="R334" s="9">
        <v>95929</v>
      </c>
      <c r="S334" s="10">
        <v>1.52</v>
      </c>
      <c r="T334" s="9">
        <v>170331.07</v>
      </c>
      <c r="U334" s="6">
        <v>23</v>
      </c>
      <c r="V334" t="s">
        <v>42</v>
      </c>
    </row>
    <row r="335" spans="1:22" x14ac:dyDescent="0.25">
      <c r="A335" t="s">
        <v>490</v>
      </c>
      <c r="B335" s="1">
        <v>45776</v>
      </c>
      <c r="C335" s="7">
        <f>YEAR(Table2[[#This Row],[Date]])</f>
        <v>2025</v>
      </c>
      <c r="D335" t="s">
        <v>31</v>
      </c>
      <c r="E335" t="s">
        <v>23</v>
      </c>
      <c r="F335" t="s">
        <v>24</v>
      </c>
      <c r="G335" t="b">
        <v>1</v>
      </c>
      <c r="H335" s="10">
        <v>0</v>
      </c>
      <c r="I335" s="10">
        <v>2</v>
      </c>
      <c r="J335" t="s">
        <v>54</v>
      </c>
      <c r="K335" s="9">
        <v>36823</v>
      </c>
      <c r="L335" t="s">
        <v>238</v>
      </c>
      <c r="M335" t="s">
        <v>27</v>
      </c>
      <c r="N335" s="7">
        <v>55</v>
      </c>
      <c r="O335" s="10">
        <v>0</v>
      </c>
      <c r="P335" s="7">
        <v>0</v>
      </c>
      <c r="Q335" t="s">
        <v>51</v>
      </c>
      <c r="R335" s="9">
        <v>102734</v>
      </c>
      <c r="S335" s="10">
        <v>1.72</v>
      </c>
      <c r="T335" s="9">
        <v>226369.52</v>
      </c>
      <c r="U335" s="6">
        <v>57</v>
      </c>
      <c r="V335" t="s">
        <v>29</v>
      </c>
    </row>
    <row r="336" spans="1:22" x14ac:dyDescent="0.25">
      <c r="A336" t="s">
        <v>491</v>
      </c>
      <c r="B336" s="1">
        <v>45401</v>
      </c>
      <c r="C336" s="7">
        <f>YEAR(Table2[[#This Row],[Date]])</f>
        <v>2024</v>
      </c>
      <c r="D336" t="s">
        <v>89</v>
      </c>
      <c r="E336" t="s">
        <v>37</v>
      </c>
      <c r="F336" t="s">
        <v>38</v>
      </c>
      <c r="G336" t="b">
        <v>0</v>
      </c>
      <c r="H336" s="10">
        <v>0</v>
      </c>
      <c r="I336" s="10">
        <v>4</v>
      </c>
      <c r="J336" t="s">
        <v>54</v>
      </c>
      <c r="K336" s="9">
        <v>51479</v>
      </c>
      <c r="L336" t="s">
        <v>149</v>
      </c>
      <c r="M336" t="s">
        <v>27</v>
      </c>
      <c r="N336" s="7">
        <v>47</v>
      </c>
      <c r="O336" s="10">
        <v>2</v>
      </c>
      <c r="P336" s="7">
        <v>1</v>
      </c>
      <c r="Q336" t="s">
        <v>62</v>
      </c>
      <c r="R336" s="9">
        <v>133706</v>
      </c>
      <c r="S336" s="10">
        <v>3.28</v>
      </c>
      <c r="T336" s="9">
        <v>5120.13</v>
      </c>
      <c r="U336" s="6">
        <v>53</v>
      </c>
      <c r="V336" t="s">
        <v>29</v>
      </c>
    </row>
    <row r="337" spans="1:22" x14ac:dyDescent="0.25">
      <c r="A337" t="s">
        <v>492</v>
      </c>
      <c r="B337" s="1">
        <v>45868</v>
      </c>
      <c r="C337" s="7">
        <f>YEAR(Table2[[#This Row],[Date]])</f>
        <v>2025</v>
      </c>
      <c r="D337" t="s">
        <v>36</v>
      </c>
      <c r="E337" t="s">
        <v>48</v>
      </c>
      <c r="F337" t="s">
        <v>38</v>
      </c>
      <c r="G337" t="b">
        <v>1</v>
      </c>
      <c r="H337" s="10">
        <v>1</v>
      </c>
      <c r="I337" s="10">
        <v>4</v>
      </c>
      <c r="J337" t="s">
        <v>54</v>
      </c>
      <c r="K337" s="9">
        <v>37425</v>
      </c>
      <c r="L337" t="s">
        <v>118</v>
      </c>
      <c r="M337" t="s">
        <v>27</v>
      </c>
      <c r="N337" s="7">
        <v>21</v>
      </c>
      <c r="O337" s="10">
        <v>0</v>
      </c>
      <c r="P337" s="7">
        <v>2</v>
      </c>
      <c r="Q337" t="s">
        <v>46</v>
      </c>
      <c r="R337" s="9">
        <v>17730</v>
      </c>
      <c r="S337" s="10">
        <v>7.75</v>
      </c>
      <c r="T337" s="9">
        <v>156995.10999999999</v>
      </c>
      <c r="U337" s="6">
        <v>45</v>
      </c>
      <c r="V337" t="s">
        <v>29</v>
      </c>
    </row>
    <row r="338" spans="1:22" x14ac:dyDescent="0.25">
      <c r="A338" t="s">
        <v>493</v>
      </c>
      <c r="B338" s="1">
        <v>45721</v>
      </c>
      <c r="C338" s="7">
        <f>YEAR(Table2[[#This Row],[Date]])</f>
        <v>2025</v>
      </c>
      <c r="D338" t="s">
        <v>31</v>
      </c>
      <c r="E338" t="s">
        <v>66</v>
      </c>
      <c r="F338" t="s">
        <v>24</v>
      </c>
      <c r="G338" t="b">
        <v>1</v>
      </c>
      <c r="H338" s="10">
        <v>0</v>
      </c>
      <c r="I338" s="10">
        <v>4</v>
      </c>
      <c r="J338" t="s">
        <v>54</v>
      </c>
      <c r="K338" s="9">
        <v>36386</v>
      </c>
      <c r="L338" t="s">
        <v>26</v>
      </c>
      <c r="M338" t="s">
        <v>27</v>
      </c>
      <c r="N338" s="7">
        <v>41</v>
      </c>
      <c r="O338" s="10">
        <v>2</v>
      </c>
      <c r="P338" s="7">
        <v>1</v>
      </c>
      <c r="Q338" t="s">
        <v>81</v>
      </c>
      <c r="R338" s="9">
        <v>8149</v>
      </c>
      <c r="S338" s="10">
        <v>1.4</v>
      </c>
      <c r="T338" s="9">
        <v>215024.99</v>
      </c>
      <c r="U338" s="6">
        <v>35</v>
      </c>
      <c r="V338" t="s">
        <v>42</v>
      </c>
    </row>
    <row r="339" spans="1:22" x14ac:dyDescent="0.25">
      <c r="A339" t="s">
        <v>494</v>
      </c>
      <c r="B339" s="1">
        <v>45862</v>
      </c>
      <c r="C339" s="7">
        <f>YEAR(Table2[[#This Row],[Date]])</f>
        <v>2025</v>
      </c>
      <c r="D339" t="s">
        <v>77</v>
      </c>
      <c r="E339" t="s">
        <v>83</v>
      </c>
      <c r="F339" t="s">
        <v>38</v>
      </c>
      <c r="G339" t="b">
        <v>0</v>
      </c>
      <c r="H339" s="10">
        <v>5</v>
      </c>
      <c r="I339" s="10">
        <v>4</v>
      </c>
      <c r="J339" t="s">
        <v>25</v>
      </c>
      <c r="K339" s="9">
        <v>10769</v>
      </c>
      <c r="L339" t="s">
        <v>301</v>
      </c>
      <c r="M339" t="s">
        <v>34</v>
      </c>
      <c r="N339" s="7">
        <v>67</v>
      </c>
      <c r="O339" s="10">
        <v>0</v>
      </c>
      <c r="P339" s="7">
        <v>0</v>
      </c>
      <c r="Q339" t="s">
        <v>87</v>
      </c>
      <c r="R339" s="9">
        <v>28243</v>
      </c>
      <c r="S339" s="10">
        <v>9.11</v>
      </c>
      <c r="T339" s="9">
        <v>114315.8</v>
      </c>
      <c r="U339" s="6">
        <v>41</v>
      </c>
      <c r="V339" t="s">
        <v>42</v>
      </c>
    </row>
    <row r="340" spans="1:22" x14ac:dyDescent="0.25">
      <c r="A340" t="s">
        <v>495</v>
      </c>
      <c r="B340" s="1">
        <v>45722</v>
      </c>
      <c r="C340" s="7">
        <f>YEAR(Table2[[#This Row],[Date]])</f>
        <v>2025</v>
      </c>
      <c r="D340" t="s">
        <v>36</v>
      </c>
      <c r="E340" t="s">
        <v>32</v>
      </c>
      <c r="F340" t="s">
        <v>44</v>
      </c>
      <c r="G340" t="b">
        <v>1</v>
      </c>
      <c r="H340" s="10">
        <v>3</v>
      </c>
      <c r="I340" s="10">
        <v>0</v>
      </c>
      <c r="J340" t="s">
        <v>25</v>
      </c>
      <c r="K340" s="9">
        <v>35940</v>
      </c>
      <c r="L340" t="s">
        <v>293</v>
      </c>
      <c r="M340" t="s">
        <v>27</v>
      </c>
      <c r="N340" s="7">
        <v>47</v>
      </c>
      <c r="O340" s="10">
        <v>0</v>
      </c>
      <c r="P340" s="7">
        <v>1</v>
      </c>
      <c r="Q340" t="s">
        <v>28</v>
      </c>
      <c r="R340" s="9">
        <v>66088</v>
      </c>
      <c r="S340" s="10">
        <v>5.23</v>
      </c>
      <c r="T340" s="9">
        <v>145185.09</v>
      </c>
      <c r="U340" s="6">
        <v>40</v>
      </c>
      <c r="V340" t="s">
        <v>42</v>
      </c>
    </row>
    <row r="341" spans="1:22" x14ac:dyDescent="0.25">
      <c r="A341" t="s">
        <v>496</v>
      </c>
      <c r="B341" s="1">
        <v>45419</v>
      </c>
      <c r="C341" s="7">
        <f>YEAR(Table2[[#This Row],[Date]])</f>
        <v>2024</v>
      </c>
      <c r="D341" t="s">
        <v>36</v>
      </c>
      <c r="E341" t="s">
        <v>98</v>
      </c>
      <c r="F341" t="s">
        <v>38</v>
      </c>
      <c r="G341" t="b">
        <v>0</v>
      </c>
      <c r="H341" s="10">
        <v>5</v>
      </c>
      <c r="I341" s="10">
        <v>4</v>
      </c>
      <c r="J341" t="s">
        <v>25</v>
      </c>
      <c r="K341" s="9">
        <v>40356</v>
      </c>
      <c r="L341" t="s">
        <v>215</v>
      </c>
      <c r="M341" t="s">
        <v>34</v>
      </c>
      <c r="N341" s="7">
        <v>40</v>
      </c>
      <c r="O341" s="10">
        <v>2</v>
      </c>
      <c r="P341" s="7">
        <v>1</v>
      </c>
      <c r="Q341" t="s">
        <v>62</v>
      </c>
      <c r="R341" s="9">
        <v>123889</v>
      </c>
      <c r="S341" s="10">
        <v>7.3</v>
      </c>
      <c r="T341" s="9">
        <v>222937.1</v>
      </c>
      <c r="U341" s="6">
        <v>62</v>
      </c>
      <c r="V341" t="s">
        <v>29</v>
      </c>
    </row>
    <row r="342" spans="1:22" x14ac:dyDescent="0.25">
      <c r="A342" t="s">
        <v>497</v>
      </c>
      <c r="B342" s="1">
        <v>45988</v>
      </c>
      <c r="C342" s="7">
        <f>YEAR(Table2[[#This Row],[Date]])</f>
        <v>2025</v>
      </c>
      <c r="D342" t="s">
        <v>77</v>
      </c>
      <c r="E342" t="s">
        <v>72</v>
      </c>
      <c r="F342" t="s">
        <v>44</v>
      </c>
      <c r="G342" t="b">
        <v>1</v>
      </c>
      <c r="H342" s="10">
        <v>3</v>
      </c>
      <c r="I342" s="10">
        <v>2</v>
      </c>
      <c r="J342" t="s">
        <v>25</v>
      </c>
      <c r="K342" s="9">
        <v>44872</v>
      </c>
      <c r="L342" t="s">
        <v>261</v>
      </c>
      <c r="M342" t="s">
        <v>61</v>
      </c>
      <c r="N342" s="7">
        <v>47</v>
      </c>
      <c r="O342" s="10">
        <v>0</v>
      </c>
      <c r="P342" s="7">
        <v>0</v>
      </c>
      <c r="Q342" t="s">
        <v>28</v>
      </c>
      <c r="R342" s="9">
        <v>138415</v>
      </c>
      <c r="S342" s="10">
        <v>4.97</v>
      </c>
      <c r="T342" s="9">
        <v>243808.04</v>
      </c>
      <c r="U342" s="6">
        <v>45</v>
      </c>
      <c r="V342" t="s">
        <v>42</v>
      </c>
    </row>
    <row r="343" spans="1:22" x14ac:dyDescent="0.25">
      <c r="A343" t="s">
        <v>498</v>
      </c>
      <c r="B343" s="1">
        <v>45831</v>
      </c>
      <c r="C343" s="7">
        <f>YEAR(Table2[[#This Row],[Date]])</f>
        <v>2025</v>
      </c>
      <c r="D343" t="s">
        <v>31</v>
      </c>
      <c r="E343" t="s">
        <v>23</v>
      </c>
      <c r="F343" t="s">
        <v>38</v>
      </c>
      <c r="G343" t="b">
        <v>1</v>
      </c>
      <c r="H343" s="10">
        <v>1</v>
      </c>
      <c r="I343" s="10">
        <v>0</v>
      </c>
      <c r="J343" t="s">
        <v>25</v>
      </c>
      <c r="K343" s="9">
        <v>47725</v>
      </c>
      <c r="L343" t="s">
        <v>90</v>
      </c>
      <c r="M343" t="s">
        <v>50</v>
      </c>
      <c r="N343" s="7">
        <v>10</v>
      </c>
      <c r="O343" s="10">
        <v>0</v>
      </c>
      <c r="P343" s="7">
        <v>1</v>
      </c>
      <c r="Q343" t="s">
        <v>51</v>
      </c>
      <c r="R343" s="9">
        <v>84356</v>
      </c>
      <c r="S343" s="10">
        <v>3.55</v>
      </c>
      <c r="T343" s="9">
        <v>140604.49</v>
      </c>
      <c r="U343" s="6">
        <v>54</v>
      </c>
      <c r="V343" t="s">
        <v>29</v>
      </c>
    </row>
    <row r="344" spans="1:22" x14ac:dyDescent="0.25">
      <c r="A344" t="s">
        <v>499</v>
      </c>
      <c r="B344" s="1">
        <v>45765</v>
      </c>
      <c r="C344" s="7">
        <f>YEAR(Table2[[#This Row],[Date]])</f>
        <v>2025</v>
      </c>
      <c r="D344" t="s">
        <v>69</v>
      </c>
      <c r="E344" t="s">
        <v>48</v>
      </c>
      <c r="F344" t="s">
        <v>38</v>
      </c>
      <c r="G344" t="b">
        <v>0</v>
      </c>
      <c r="H344" s="10">
        <v>2</v>
      </c>
      <c r="I344" s="10">
        <v>2</v>
      </c>
      <c r="J344" t="s">
        <v>39</v>
      </c>
      <c r="K344" s="9">
        <v>40926</v>
      </c>
      <c r="L344" t="s">
        <v>188</v>
      </c>
      <c r="M344" t="s">
        <v>50</v>
      </c>
      <c r="N344" s="7">
        <v>76</v>
      </c>
      <c r="O344" s="10">
        <v>0</v>
      </c>
      <c r="P344" s="7">
        <v>0</v>
      </c>
      <c r="Q344" t="s">
        <v>87</v>
      </c>
      <c r="R344" s="9">
        <v>88996</v>
      </c>
      <c r="S344" s="10">
        <v>6.13</v>
      </c>
      <c r="T344" s="9">
        <v>146977.57</v>
      </c>
      <c r="U344" s="6">
        <v>48</v>
      </c>
      <c r="V344" t="s">
        <v>29</v>
      </c>
    </row>
    <row r="345" spans="1:22" x14ac:dyDescent="0.25">
      <c r="A345" t="s">
        <v>500</v>
      </c>
      <c r="B345" s="1">
        <v>45425</v>
      </c>
      <c r="C345" s="7">
        <f>YEAR(Table2[[#This Row],[Date]])</f>
        <v>2024</v>
      </c>
      <c r="D345" t="s">
        <v>53</v>
      </c>
      <c r="E345" t="s">
        <v>83</v>
      </c>
      <c r="F345" t="s">
        <v>24</v>
      </c>
      <c r="G345" t="b">
        <v>1</v>
      </c>
      <c r="H345" s="10">
        <v>1</v>
      </c>
      <c r="I345" s="10">
        <v>3</v>
      </c>
      <c r="J345" t="s">
        <v>54</v>
      </c>
      <c r="K345" s="9">
        <v>19373</v>
      </c>
      <c r="L345" t="s">
        <v>178</v>
      </c>
      <c r="M345" t="s">
        <v>34</v>
      </c>
      <c r="N345" s="7">
        <v>68</v>
      </c>
      <c r="O345" s="10">
        <v>1</v>
      </c>
      <c r="P345" s="7">
        <v>0</v>
      </c>
      <c r="Q345" t="s">
        <v>51</v>
      </c>
      <c r="R345" s="9">
        <v>31250</v>
      </c>
      <c r="S345" s="10">
        <v>5.52</v>
      </c>
      <c r="T345" s="9">
        <v>70223.39</v>
      </c>
      <c r="U345" s="6">
        <v>26</v>
      </c>
      <c r="V345" t="s">
        <v>29</v>
      </c>
    </row>
    <row r="346" spans="1:22" x14ac:dyDescent="0.25">
      <c r="A346" t="s">
        <v>501</v>
      </c>
      <c r="B346" s="1">
        <v>45377</v>
      </c>
      <c r="C346" s="7">
        <f>YEAR(Table2[[#This Row],[Date]])</f>
        <v>2024</v>
      </c>
      <c r="D346" t="s">
        <v>53</v>
      </c>
      <c r="E346" t="s">
        <v>72</v>
      </c>
      <c r="F346" t="s">
        <v>38</v>
      </c>
      <c r="G346" t="b">
        <v>0</v>
      </c>
      <c r="H346" s="10">
        <v>1</v>
      </c>
      <c r="I346" s="10">
        <v>0</v>
      </c>
      <c r="J346" t="s">
        <v>25</v>
      </c>
      <c r="K346" s="9">
        <v>19456</v>
      </c>
      <c r="L346" t="s">
        <v>285</v>
      </c>
      <c r="M346" t="s">
        <v>50</v>
      </c>
      <c r="N346" s="7">
        <v>81</v>
      </c>
      <c r="O346" s="10">
        <v>1</v>
      </c>
      <c r="P346" s="7">
        <v>0</v>
      </c>
      <c r="Q346" t="s">
        <v>62</v>
      </c>
      <c r="R346" s="9">
        <v>59426</v>
      </c>
      <c r="S346" s="10">
        <v>5.15</v>
      </c>
      <c r="T346" s="9">
        <v>80013.240000000005</v>
      </c>
      <c r="U346" s="6">
        <v>48</v>
      </c>
      <c r="V346" t="s">
        <v>42</v>
      </c>
    </row>
    <row r="347" spans="1:22" x14ac:dyDescent="0.25">
      <c r="A347" t="s">
        <v>502</v>
      </c>
      <c r="B347" s="1">
        <v>45939</v>
      </c>
      <c r="C347" s="7">
        <f>YEAR(Table2[[#This Row],[Date]])</f>
        <v>2025</v>
      </c>
      <c r="D347" t="s">
        <v>31</v>
      </c>
      <c r="E347" t="s">
        <v>23</v>
      </c>
      <c r="F347" t="s">
        <v>44</v>
      </c>
      <c r="G347" t="b">
        <v>1</v>
      </c>
      <c r="H347" s="10">
        <v>3</v>
      </c>
      <c r="I347" s="10">
        <v>4</v>
      </c>
      <c r="J347" t="s">
        <v>54</v>
      </c>
      <c r="K347" s="9">
        <v>17287</v>
      </c>
      <c r="L347" t="s">
        <v>126</v>
      </c>
      <c r="M347" t="s">
        <v>34</v>
      </c>
      <c r="N347" s="7">
        <v>47</v>
      </c>
      <c r="O347" s="10">
        <v>0</v>
      </c>
      <c r="P347" s="7">
        <v>0</v>
      </c>
      <c r="Q347" t="s">
        <v>87</v>
      </c>
      <c r="R347" s="9">
        <v>16916</v>
      </c>
      <c r="S347" s="10">
        <v>5.64</v>
      </c>
      <c r="T347" s="9">
        <v>78434.070000000007</v>
      </c>
      <c r="U347" s="6">
        <v>21</v>
      </c>
      <c r="V347" t="s">
        <v>29</v>
      </c>
    </row>
    <row r="348" spans="1:22" x14ac:dyDescent="0.25">
      <c r="A348" t="s">
        <v>503</v>
      </c>
      <c r="B348" s="1">
        <v>45576</v>
      </c>
      <c r="C348" s="7">
        <f>YEAR(Table2[[#This Row],[Date]])</f>
        <v>2024</v>
      </c>
      <c r="D348" t="s">
        <v>53</v>
      </c>
      <c r="E348" t="s">
        <v>48</v>
      </c>
      <c r="F348" t="s">
        <v>38</v>
      </c>
      <c r="G348" t="b">
        <v>1</v>
      </c>
      <c r="H348" s="10">
        <v>3</v>
      </c>
      <c r="I348" s="10">
        <v>1</v>
      </c>
      <c r="J348" t="s">
        <v>25</v>
      </c>
      <c r="K348" s="9">
        <v>23635</v>
      </c>
      <c r="L348" t="s">
        <v>190</v>
      </c>
      <c r="M348" t="s">
        <v>34</v>
      </c>
      <c r="N348" s="7">
        <v>37</v>
      </c>
      <c r="O348" s="10">
        <v>1</v>
      </c>
      <c r="P348" s="7">
        <v>1</v>
      </c>
      <c r="Q348" t="s">
        <v>28</v>
      </c>
      <c r="R348" s="9">
        <v>19636</v>
      </c>
      <c r="S348" s="10">
        <v>3.5</v>
      </c>
      <c r="T348" s="9">
        <v>169317.11</v>
      </c>
      <c r="U348" s="6">
        <v>18</v>
      </c>
      <c r="V348" t="s">
        <v>42</v>
      </c>
    </row>
    <row r="349" spans="1:22" x14ac:dyDescent="0.25">
      <c r="A349" t="s">
        <v>504</v>
      </c>
      <c r="B349" s="1">
        <v>45667</v>
      </c>
      <c r="C349" s="7">
        <f>YEAR(Table2[[#This Row],[Date]])</f>
        <v>2025</v>
      </c>
      <c r="D349" t="s">
        <v>97</v>
      </c>
      <c r="E349" t="s">
        <v>48</v>
      </c>
      <c r="F349" t="s">
        <v>24</v>
      </c>
      <c r="G349" t="b">
        <v>0</v>
      </c>
      <c r="H349" s="10">
        <v>5</v>
      </c>
      <c r="I349" s="10">
        <v>1</v>
      </c>
      <c r="J349" t="s">
        <v>25</v>
      </c>
      <c r="K349" s="9">
        <v>20572</v>
      </c>
      <c r="L349" t="s">
        <v>285</v>
      </c>
      <c r="M349" t="s">
        <v>27</v>
      </c>
      <c r="N349" s="7">
        <v>70</v>
      </c>
      <c r="O349" s="10">
        <v>1</v>
      </c>
      <c r="P349" s="7">
        <v>1</v>
      </c>
      <c r="Q349" t="s">
        <v>81</v>
      </c>
      <c r="R349" s="9">
        <v>14864</v>
      </c>
      <c r="S349" s="10">
        <v>8.43</v>
      </c>
      <c r="T349" s="9">
        <v>212581.53</v>
      </c>
      <c r="U349" s="6">
        <v>46</v>
      </c>
      <c r="V349" t="s">
        <v>42</v>
      </c>
    </row>
    <row r="350" spans="1:22" x14ac:dyDescent="0.25">
      <c r="A350" t="s">
        <v>505</v>
      </c>
      <c r="B350" s="1">
        <v>45515</v>
      </c>
      <c r="C350" s="7">
        <f>YEAR(Table2[[#This Row],[Date]])</f>
        <v>2024</v>
      </c>
      <c r="D350" t="s">
        <v>77</v>
      </c>
      <c r="E350" t="s">
        <v>48</v>
      </c>
      <c r="F350" t="s">
        <v>44</v>
      </c>
      <c r="G350" t="b">
        <v>1</v>
      </c>
      <c r="H350" s="10">
        <v>0</v>
      </c>
      <c r="I350" s="10">
        <v>0</v>
      </c>
      <c r="J350" t="s">
        <v>39</v>
      </c>
      <c r="K350" s="9">
        <v>48733</v>
      </c>
      <c r="L350" t="s">
        <v>169</v>
      </c>
      <c r="M350" t="s">
        <v>50</v>
      </c>
      <c r="N350" s="7">
        <v>17</v>
      </c>
      <c r="O350" s="10">
        <v>0</v>
      </c>
      <c r="P350" s="7">
        <v>1</v>
      </c>
      <c r="Q350" t="s">
        <v>51</v>
      </c>
      <c r="R350" s="9">
        <v>43123</v>
      </c>
      <c r="S350" s="10">
        <v>2.33</v>
      </c>
      <c r="T350" s="9">
        <v>237132.04</v>
      </c>
      <c r="U350" s="6">
        <v>35</v>
      </c>
      <c r="V350" t="s">
        <v>42</v>
      </c>
    </row>
    <row r="351" spans="1:22" x14ac:dyDescent="0.25">
      <c r="A351" t="s">
        <v>506</v>
      </c>
      <c r="B351" s="1">
        <v>45422</v>
      </c>
      <c r="C351" s="7">
        <f>YEAR(Table2[[#This Row],[Date]])</f>
        <v>2024</v>
      </c>
      <c r="D351" t="s">
        <v>36</v>
      </c>
      <c r="E351" t="s">
        <v>32</v>
      </c>
      <c r="F351" t="s">
        <v>44</v>
      </c>
      <c r="G351" t="b">
        <v>1</v>
      </c>
      <c r="H351" s="10">
        <v>0</v>
      </c>
      <c r="I351" s="10">
        <v>3</v>
      </c>
      <c r="J351" t="s">
        <v>54</v>
      </c>
      <c r="K351" s="9">
        <v>5580</v>
      </c>
      <c r="L351" t="s">
        <v>296</v>
      </c>
      <c r="M351" t="s">
        <v>34</v>
      </c>
      <c r="N351" s="7">
        <v>33</v>
      </c>
      <c r="O351" s="10">
        <v>0</v>
      </c>
      <c r="P351" s="7">
        <v>1</v>
      </c>
      <c r="Q351" t="s">
        <v>46</v>
      </c>
      <c r="R351" s="9">
        <v>105461</v>
      </c>
      <c r="S351" s="10">
        <v>4.87</v>
      </c>
      <c r="T351" s="9">
        <v>38151.85</v>
      </c>
      <c r="U351" s="6">
        <v>62</v>
      </c>
      <c r="V351" t="s">
        <v>42</v>
      </c>
    </row>
    <row r="352" spans="1:22" x14ac:dyDescent="0.25">
      <c r="A352" t="s">
        <v>507</v>
      </c>
      <c r="B352" s="1">
        <v>45651</v>
      </c>
      <c r="C352" s="7">
        <f>YEAR(Table2[[#This Row],[Date]])</f>
        <v>2024</v>
      </c>
      <c r="D352" t="s">
        <v>77</v>
      </c>
      <c r="E352" t="s">
        <v>72</v>
      </c>
      <c r="F352" t="s">
        <v>44</v>
      </c>
      <c r="G352" t="b">
        <v>0</v>
      </c>
      <c r="H352" s="10">
        <v>3</v>
      </c>
      <c r="I352" s="10">
        <v>4</v>
      </c>
      <c r="J352" t="s">
        <v>54</v>
      </c>
      <c r="K352" s="9">
        <v>18040</v>
      </c>
      <c r="L352" t="s">
        <v>306</v>
      </c>
      <c r="M352" t="s">
        <v>50</v>
      </c>
      <c r="N352" s="7">
        <v>72</v>
      </c>
      <c r="O352" s="10">
        <v>2</v>
      </c>
      <c r="P352" s="7">
        <v>2</v>
      </c>
      <c r="Q352" t="s">
        <v>46</v>
      </c>
      <c r="R352" s="9">
        <v>67246</v>
      </c>
      <c r="S352" s="10">
        <v>4.3099999999999996</v>
      </c>
      <c r="T352" s="9">
        <v>223303.69</v>
      </c>
      <c r="U352" s="6">
        <v>23</v>
      </c>
      <c r="V352" t="s">
        <v>42</v>
      </c>
    </row>
    <row r="353" spans="1:22" x14ac:dyDescent="0.25">
      <c r="A353" t="s">
        <v>508</v>
      </c>
      <c r="B353" s="1">
        <v>45330</v>
      </c>
      <c r="C353" s="7">
        <f>YEAR(Table2[[#This Row],[Date]])</f>
        <v>2024</v>
      </c>
      <c r="D353" t="s">
        <v>97</v>
      </c>
      <c r="E353" t="s">
        <v>37</v>
      </c>
      <c r="F353" t="s">
        <v>38</v>
      </c>
      <c r="G353" t="b">
        <v>0</v>
      </c>
      <c r="H353" s="10">
        <v>1</v>
      </c>
      <c r="I353" s="10">
        <v>1</v>
      </c>
      <c r="J353" t="s">
        <v>39</v>
      </c>
      <c r="K353" s="9">
        <v>15357</v>
      </c>
      <c r="L353" t="s">
        <v>331</v>
      </c>
      <c r="M353" t="s">
        <v>34</v>
      </c>
      <c r="N353" s="7">
        <v>88</v>
      </c>
      <c r="O353" s="10">
        <v>0</v>
      </c>
      <c r="P353" s="7">
        <v>0</v>
      </c>
      <c r="Q353" t="s">
        <v>46</v>
      </c>
      <c r="R353" s="9">
        <v>78221</v>
      </c>
      <c r="S353" s="10">
        <v>6.54</v>
      </c>
      <c r="T353" s="9">
        <v>124333.49</v>
      </c>
      <c r="U353" s="6">
        <v>28</v>
      </c>
      <c r="V353" t="s">
        <v>42</v>
      </c>
    </row>
    <row r="354" spans="1:22" x14ac:dyDescent="0.25">
      <c r="A354" t="s">
        <v>509</v>
      </c>
      <c r="B354" s="1">
        <v>45674</v>
      </c>
      <c r="C354" s="7">
        <f>YEAR(Table2[[#This Row],[Date]])</f>
        <v>2025</v>
      </c>
      <c r="D354" t="s">
        <v>31</v>
      </c>
      <c r="E354" t="s">
        <v>32</v>
      </c>
      <c r="F354" t="s">
        <v>44</v>
      </c>
      <c r="G354" t="b">
        <v>1</v>
      </c>
      <c r="H354" s="10">
        <v>5</v>
      </c>
      <c r="I354" s="10">
        <v>0</v>
      </c>
      <c r="J354" t="s">
        <v>25</v>
      </c>
      <c r="K354" s="9">
        <v>21188</v>
      </c>
      <c r="L354" t="s">
        <v>205</v>
      </c>
      <c r="M354" t="s">
        <v>27</v>
      </c>
      <c r="N354" s="7">
        <v>35</v>
      </c>
      <c r="O354" s="10">
        <v>1</v>
      </c>
      <c r="P354" s="7">
        <v>2</v>
      </c>
      <c r="Q354" t="s">
        <v>87</v>
      </c>
      <c r="R354" s="9">
        <v>129590</v>
      </c>
      <c r="S354" s="10">
        <v>7.89</v>
      </c>
      <c r="T354" s="9">
        <v>7037.88</v>
      </c>
      <c r="U354" s="6">
        <v>36</v>
      </c>
      <c r="V354" t="s">
        <v>42</v>
      </c>
    </row>
    <row r="355" spans="1:22" x14ac:dyDescent="0.25">
      <c r="A355" t="s">
        <v>510</v>
      </c>
      <c r="B355" s="1">
        <v>45632</v>
      </c>
      <c r="C355" s="7">
        <f>YEAR(Table2[[#This Row],[Date]])</f>
        <v>2024</v>
      </c>
      <c r="D355" t="s">
        <v>97</v>
      </c>
      <c r="E355" t="s">
        <v>66</v>
      </c>
      <c r="F355" t="s">
        <v>38</v>
      </c>
      <c r="G355" t="b">
        <v>0</v>
      </c>
      <c r="H355" s="10">
        <v>3</v>
      </c>
      <c r="I355" s="10">
        <v>4</v>
      </c>
      <c r="J355" t="s">
        <v>54</v>
      </c>
      <c r="K355" s="9">
        <v>19513</v>
      </c>
      <c r="L355" t="s">
        <v>107</v>
      </c>
      <c r="M355" t="s">
        <v>34</v>
      </c>
      <c r="N355" s="7">
        <v>50</v>
      </c>
      <c r="O355" s="10">
        <v>0</v>
      </c>
      <c r="P355" s="7">
        <v>2</v>
      </c>
      <c r="Q355" t="s">
        <v>28</v>
      </c>
      <c r="R355" s="9">
        <v>111162</v>
      </c>
      <c r="S355" s="10">
        <v>1.22</v>
      </c>
      <c r="T355" s="9">
        <v>199564.84</v>
      </c>
      <c r="U355" s="6">
        <v>31</v>
      </c>
      <c r="V355" t="s">
        <v>42</v>
      </c>
    </row>
    <row r="356" spans="1:22" x14ac:dyDescent="0.25">
      <c r="A356" t="s">
        <v>511</v>
      </c>
      <c r="B356" s="1">
        <v>45603</v>
      </c>
      <c r="C356" s="7">
        <f>YEAR(Table2[[#This Row],[Date]])</f>
        <v>2024</v>
      </c>
      <c r="D356" t="s">
        <v>22</v>
      </c>
      <c r="E356" t="s">
        <v>48</v>
      </c>
      <c r="F356" t="s">
        <v>24</v>
      </c>
      <c r="G356" t="b">
        <v>1</v>
      </c>
      <c r="H356" s="10">
        <v>0</v>
      </c>
      <c r="I356" s="10">
        <v>1</v>
      </c>
      <c r="J356" t="s">
        <v>54</v>
      </c>
      <c r="K356" s="9">
        <v>44224</v>
      </c>
      <c r="L356" t="s">
        <v>115</v>
      </c>
      <c r="M356" t="s">
        <v>27</v>
      </c>
      <c r="N356" s="7">
        <v>80</v>
      </c>
      <c r="O356" s="10">
        <v>0</v>
      </c>
      <c r="P356" s="7">
        <v>1</v>
      </c>
      <c r="Q356" t="s">
        <v>28</v>
      </c>
      <c r="R356" s="9">
        <v>144560</v>
      </c>
      <c r="S356" s="10">
        <v>4.9800000000000004</v>
      </c>
      <c r="T356" s="9">
        <v>226251.05</v>
      </c>
      <c r="U356" s="6">
        <v>49</v>
      </c>
      <c r="V356" t="s">
        <v>42</v>
      </c>
    </row>
    <row r="357" spans="1:22" x14ac:dyDescent="0.25">
      <c r="A357" t="s">
        <v>512</v>
      </c>
      <c r="B357" s="1">
        <v>45346</v>
      </c>
      <c r="C357" s="7">
        <f>YEAR(Table2[[#This Row],[Date]])</f>
        <v>2024</v>
      </c>
      <c r="D357" t="s">
        <v>77</v>
      </c>
      <c r="E357" t="s">
        <v>37</v>
      </c>
      <c r="F357" t="s">
        <v>38</v>
      </c>
      <c r="G357" t="b">
        <v>1</v>
      </c>
      <c r="H357" s="10">
        <v>4</v>
      </c>
      <c r="I357" s="10">
        <v>2</v>
      </c>
      <c r="J357" t="s">
        <v>25</v>
      </c>
      <c r="K357" s="9">
        <v>36757</v>
      </c>
      <c r="L357" t="s">
        <v>306</v>
      </c>
      <c r="M357" t="s">
        <v>27</v>
      </c>
      <c r="N357" s="7">
        <v>76</v>
      </c>
      <c r="O357" s="10">
        <v>1</v>
      </c>
      <c r="P357" s="7">
        <v>0</v>
      </c>
      <c r="Q357" t="s">
        <v>62</v>
      </c>
      <c r="R357" s="9">
        <v>16446</v>
      </c>
      <c r="S357" s="10">
        <v>9.41</v>
      </c>
      <c r="T357" s="9">
        <v>136372.94</v>
      </c>
      <c r="U357" s="6">
        <v>45</v>
      </c>
      <c r="V357" t="s">
        <v>42</v>
      </c>
    </row>
    <row r="358" spans="1:22" x14ac:dyDescent="0.25">
      <c r="A358" t="s">
        <v>513</v>
      </c>
      <c r="B358" s="1">
        <v>45363</v>
      </c>
      <c r="C358" s="7">
        <f>YEAR(Table2[[#This Row],[Date]])</f>
        <v>2024</v>
      </c>
      <c r="D358" t="s">
        <v>77</v>
      </c>
      <c r="E358" t="s">
        <v>83</v>
      </c>
      <c r="F358" t="s">
        <v>38</v>
      </c>
      <c r="G358" t="b">
        <v>0</v>
      </c>
      <c r="H358" s="10">
        <v>1</v>
      </c>
      <c r="I358" s="10">
        <v>1</v>
      </c>
      <c r="J358" t="s">
        <v>39</v>
      </c>
      <c r="K358" s="9">
        <v>13704</v>
      </c>
      <c r="L358" t="s">
        <v>306</v>
      </c>
      <c r="M358" t="s">
        <v>61</v>
      </c>
      <c r="N358" s="7">
        <v>47</v>
      </c>
      <c r="O358" s="10">
        <v>0</v>
      </c>
      <c r="P358" s="7">
        <v>2</v>
      </c>
      <c r="Q358" t="s">
        <v>81</v>
      </c>
      <c r="R358" s="9">
        <v>144357</v>
      </c>
      <c r="S358" s="10">
        <v>8.32</v>
      </c>
      <c r="T358" s="9">
        <v>144667.16</v>
      </c>
      <c r="U358" s="6">
        <v>57</v>
      </c>
      <c r="V358" t="s">
        <v>42</v>
      </c>
    </row>
    <row r="359" spans="1:22" x14ac:dyDescent="0.25">
      <c r="A359" t="s">
        <v>514</v>
      </c>
      <c r="B359" s="1">
        <v>45817</v>
      </c>
      <c r="C359" s="7">
        <f>YEAR(Table2[[#This Row],[Date]])</f>
        <v>2025</v>
      </c>
      <c r="D359" t="s">
        <v>77</v>
      </c>
      <c r="E359" t="s">
        <v>23</v>
      </c>
      <c r="F359" t="s">
        <v>44</v>
      </c>
      <c r="G359" t="b">
        <v>1</v>
      </c>
      <c r="H359" s="10">
        <v>0</v>
      </c>
      <c r="I359" s="10">
        <v>1</v>
      </c>
      <c r="J359" t="s">
        <v>54</v>
      </c>
      <c r="K359" s="9">
        <v>28408</v>
      </c>
      <c r="L359" t="s">
        <v>107</v>
      </c>
      <c r="M359" t="s">
        <v>50</v>
      </c>
      <c r="N359" s="7">
        <v>79</v>
      </c>
      <c r="O359" s="10">
        <v>1</v>
      </c>
      <c r="P359" s="7">
        <v>0</v>
      </c>
      <c r="Q359" t="s">
        <v>62</v>
      </c>
      <c r="R359" s="9">
        <v>85204</v>
      </c>
      <c r="S359" s="10">
        <v>1.22</v>
      </c>
      <c r="T359" s="9">
        <v>98198.89</v>
      </c>
      <c r="U359" s="6">
        <v>63</v>
      </c>
      <c r="V359" t="s">
        <v>29</v>
      </c>
    </row>
    <row r="360" spans="1:22" x14ac:dyDescent="0.25">
      <c r="A360" t="s">
        <v>515</v>
      </c>
      <c r="B360" s="1">
        <v>46015</v>
      </c>
      <c r="C360" s="7">
        <f>YEAR(Table2[[#This Row],[Date]])</f>
        <v>2025</v>
      </c>
      <c r="D360" t="s">
        <v>36</v>
      </c>
      <c r="E360" t="s">
        <v>37</v>
      </c>
      <c r="F360" t="s">
        <v>24</v>
      </c>
      <c r="G360" t="b">
        <v>1</v>
      </c>
      <c r="H360" s="10">
        <v>4</v>
      </c>
      <c r="I360" s="10">
        <v>1</v>
      </c>
      <c r="J360" t="s">
        <v>25</v>
      </c>
      <c r="K360" s="9">
        <v>42255</v>
      </c>
      <c r="L360" t="s">
        <v>212</v>
      </c>
      <c r="M360" t="s">
        <v>50</v>
      </c>
      <c r="N360" s="7">
        <v>55</v>
      </c>
      <c r="O360" s="10">
        <v>2</v>
      </c>
      <c r="P360" s="7">
        <v>0</v>
      </c>
      <c r="Q360" t="s">
        <v>62</v>
      </c>
      <c r="R360" s="9">
        <v>88403</v>
      </c>
      <c r="S360" s="10">
        <v>8.2200000000000006</v>
      </c>
      <c r="T360" s="9">
        <v>124564.79</v>
      </c>
      <c r="U360" s="6">
        <v>63</v>
      </c>
      <c r="V360" t="s">
        <v>29</v>
      </c>
    </row>
    <row r="361" spans="1:22" x14ac:dyDescent="0.25">
      <c r="A361" t="s">
        <v>516</v>
      </c>
      <c r="B361" s="1">
        <v>45926</v>
      </c>
      <c r="C361" s="7">
        <f>YEAR(Table2[[#This Row],[Date]])</f>
        <v>2025</v>
      </c>
      <c r="D361" t="s">
        <v>36</v>
      </c>
      <c r="E361" t="s">
        <v>98</v>
      </c>
      <c r="F361" t="s">
        <v>44</v>
      </c>
      <c r="G361" t="b">
        <v>1</v>
      </c>
      <c r="H361" s="10">
        <v>4</v>
      </c>
      <c r="I361" s="10">
        <v>3</v>
      </c>
      <c r="J361" t="s">
        <v>25</v>
      </c>
      <c r="K361" s="9">
        <v>20384</v>
      </c>
      <c r="L361" t="s">
        <v>176</v>
      </c>
      <c r="M361" t="s">
        <v>50</v>
      </c>
      <c r="N361" s="7">
        <v>30</v>
      </c>
      <c r="O361" s="10">
        <v>0</v>
      </c>
      <c r="P361" s="7">
        <v>2</v>
      </c>
      <c r="Q361" t="s">
        <v>28</v>
      </c>
      <c r="R361" s="9">
        <v>89834</v>
      </c>
      <c r="S361" s="10">
        <v>1.85</v>
      </c>
      <c r="T361" s="9">
        <v>5025.3900000000003</v>
      </c>
      <c r="U361" s="6">
        <v>30</v>
      </c>
      <c r="V361" t="s">
        <v>42</v>
      </c>
    </row>
    <row r="362" spans="1:22" x14ac:dyDescent="0.25">
      <c r="A362" t="s">
        <v>517</v>
      </c>
      <c r="B362" s="1">
        <v>45981</v>
      </c>
      <c r="C362" s="7">
        <f>YEAR(Table2[[#This Row],[Date]])</f>
        <v>2025</v>
      </c>
      <c r="D362" t="s">
        <v>31</v>
      </c>
      <c r="E362" t="s">
        <v>72</v>
      </c>
      <c r="F362" t="s">
        <v>44</v>
      </c>
      <c r="G362" t="b">
        <v>1</v>
      </c>
      <c r="H362" s="10">
        <v>2</v>
      </c>
      <c r="I362" s="10">
        <v>2</v>
      </c>
      <c r="J362" t="s">
        <v>39</v>
      </c>
      <c r="K362" s="9">
        <v>41506</v>
      </c>
      <c r="L362" t="s">
        <v>118</v>
      </c>
      <c r="M362" t="s">
        <v>61</v>
      </c>
      <c r="N362" s="7">
        <v>64</v>
      </c>
      <c r="O362" s="10">
        <v>0</v>
      </c>
      <c r="P362" s="7">
        <v>0</v>
      </c>
      <c r="Q362" t="s">
        <v>81</v>
      </c>
      <c r="R362" s="9">
        <v>56971</v>
      </c>
      <c r="S362" s="10">
        <v>9.0500000000000007</v>
      </c>
      <c r="T362" s="9">
        <v>149469.91</v>
      </c>
      <c r="U362" s="6">
        <v>42</v>
      </c>
      <c r="V362" t="s">
        <v>42</v>
      </c>
    </row>
    <row r="363" spans="1:22" x14ac:dyDescent="0.25">
      <c r="A363" t="s">
        <v>518</v>
      </c>
      <c r="B363" s="1">
        <v>45642</v>
      </c>
      <c r="C363" s="7">
        <f>YEAR(Table2[[#This Row],[Date]])</f>
        <v>2024</v>
      </c>
      <c r="D363" t="s">
        <v>31</v>
      </c>
      <c r="E363" t="s">
        <v>32</v>
      </c>
      <c r="F363" t="s">
        <v>44</v>
      </c>
      <c r="G363" t="b">
        <v>1</v>
      </c>
      <c r="H363" s="10">
        <v>4</v>
      </c>
      <c r="I363" s="10">
        <v>3</v>
      </c>
      <c r="J363" t="s">
        <v>25</v>
      </c>
      <c r="K363" s="9">
        <v>21439</v>
      </c>
      <c r="L363" t="s">
        <v>192</v>
      </c>
      <c r="M363" t="s">
        <v>34</v>
      </c>
      <c r="N363" s="7">
        <v>50</v>
      </c>
      <c r="O363" s="10">
        <v>0</v>
      </c>
      <c r="P363" s="7">
        <v>0</v>
      </c>
      <c r="Q363" t="s">
        <v>28</v>
      </c>
      <c r="R363" s="9">
        <v>85403</v>
      </c>
      <c r="S363" s="10">
        <v>3.67</v>
      </c>
      <c r="T363" s="9">
        <v>191712.96</v>
      </c>
      <c r="U363" s="6">
        <v>64</v>
      </c>
      <c r="V363" t="s">
        <v>42</v>
      </c>
    </row>
    <row r="364" spans="1:22" x14ac:dyDescent="0.25">
      <c r="A364" t="s">
        <v>519</v>
      </c>
      <c r="B364" s="1">
        <v>45322</v>
      </c>
      <c r="C364" s="7">
        <f>YEAR(Table2[[#This Row],[Date]])</f>
        <v>2024</v>
      </c>
      <c r="D364" t="s">
        <v>31</v>
      </c>
      <c r="E364" t="s">
        <v>98</v>
      </c>
      <c r="F364" t="s">
        <v>24</v>
      </c>
      <c r="G364" t="b">
        <v>0</v>
      </c>
      <c r="H364" s="10">
        <v>3</v>
      </c>
      <c r="I364" s="10">
        <v>1</v>
      </c>
      <c r="J364" t="s">
        <v>25</v>
      </c>
      <c r="K364" s="9">
        <v>8868</v>
      </c>
      <c r="L364" t="s">
        <v>383</v>
      </c>
      <c r="M364" t="s">
        <v>34</v>
      </c>
      <c r="N364" s="7">
        <v>88</v>
      </c>
      <c r="O364" s="10">
        <v>0</v>
      </c>
      <c r="P364" s="7">
        <v>0</v>
      </c>
      <c r="Q364" t="s">
        <v>46</v>
      </c>
      <c r="R364" s="9">
        <v>148487</v>
      </c>
      <c r="S364" s="10">
        <v>7.54</v>
      </c>
      <c r="T364" s="9">
        <v>162336.4</v>
      </c>
      <c r="U364" s="6">
        <v>18</v>
      </c>
      <c r="V364" t="s">
        <v>29</v>
      </c>
    </row>
    <row r="365" spans="1:22" x14ac:dyDescent="0.25">
      <c r="A365" t="s">
        <v>520</v>
      </c>
      <c r="B365" s="1">
        <v>45989</v>
      </c>
      <c r="C365" s="7">
        <f>YEAR(Table2[[#This Row],[Date]])</f>
        <v>2025</v>
      </c>
      <c r="D365" t="s">
        <v>77</v>
      </c>
      <c r="E365" t="s">
        <v>48</v>
      </c>
      <c r="F365" t="s">
        <v>44</v>
      </c>
      <c r="G365" t="b">
        <v>1</v>
      </c>
      <c r="H365" s="10">
        <v>2</v>
      </c>
      <c r="I365" s="10">
        <v>0</v>
      </c>
      <c r="J365" t="s">
        <v>25</v>
      </c>
      <c r="K365" s="9">
        <v>10504</v>
      </c>
      <c r="L365" t="s">
        <v>159</v>
      </c>
      <c r="M365" t="s">
        <v>34</v>
      </c>
      <c r="N365" s="7">
        <v>49</v>
      </c>
      <c r="O365" s="10">
        <v>1</v>
      </c>
      <c r="P365" s="7">
        <v>0</v>
      </c>
      <c r="Q365" t="s">
        <v>87</v>
      </c>
      <c r="R365" s="9">
        <v>81052</v>
      </c>
      <c r="S365" s="10">
        <v>2.17</v>
      </c>
      <c r="T365" s="9">
        <v>83035.94</v>
      </c>
      <c r="U365" s="6">
        <v>27</v>
      </c>
      <c r="V365" t="s">
        <v>29</v>
      </c>
    </row>
    <row r="366" spans="1:22" x14ac:dyDescent="0.25">
      <c r="A366" t="s">
        <v>521</v>
      </c>
      <c r="B366" s="1">
        <v>45646</v>
      </c>
      <c r="C366" s="7">
        <f>YEAR(Table2[[#This Row],[Date]])</f>
        <v>2024</v>
      </c>
      <c r="D366" t="s">
        <v>89</v>
      </c>
      <c r="E366" t="s">
        <v>83</v>
      </c>
      <c r="F366" t="s">
        <v>44</v>
      </c>
      <c r="G366" t="b">
        <v>1</v>
      </c>
      <c r="H366" s="10">
        <v>0</v>
      </c>
      <c r="I366" s="10">
        <v>3</v>
      </c>
      <c r="J366" t="s">
        <v>54</v>
      </c>
      <c r="K366" s="9">
        <v>7301</v>
      </c>
      <c r="L366" t="s">
        <v>135</v>
      </c>
      <c r="M366" t="s">
        <v>61</v>
      </c>
      <c r="N366" s="7">
        <v>62</v>
      </c>
      <c r="O366" s="10">
        <v>1</v>
      </c>
      <c r="P366" s="7">
        <v>2</v>
      </c>
      <c r="Q366" t="s">
        <v>41</v>
      </c>
      <c r="R366" s="9">
        <v>31818</v>
      </c>
      <c r="S366" s="10">
        <v>7.84</v>
      </c>
      <c r="T366" s="9">
        <v>140868.60999999999</v>
      </c>
      <c r="U366" s="6">
        <v>56</v>
      </c>
      <c r="V366" t="s">
        <v>42</v>
      </c>
    </row>
    <row r="367" spans="1:22" x14ac:dyDescent="0.25">
      <c r="A367" t="s">
        <v>522</v>
      </c>
      <c r="B367" s="1">
        <v>45311</v>
      </c>
      <c r="C367" s="7">
        <f>YEAR(Table2[[#This Row],[Date]])</f>
        <v>2024</v>
      </c>
      <c r="D367" t="s">
        <v>31</v>
      </c>
      <c r="E367" t="s">
        <v>83</v>
      </c>
      <c r="F367" t="s">
        <v>38</v>
      </c>
      <c r="G367" t="b">
        <v>1</v>
      </c>
      <c r="H367" s="10">
        <v>1</v>
      </c>
      <c r="I367" s="10">
        <v>0</v>
      </c>
      <c r="J367" t="s">
        <v>25</v>
      </c>
      <c r="K367" s="9">
        <v>8952</v>
      </c>
      <c r="L367" t="s">
        <v>121</v>
      </c>
      <c r="M367" t="s">
        <v>50</v>
      </c>
      <c r="N367" s="7">
        <v>10</v>
      </c>
      <c r="O367" s="10">
        <v>0</v>
      </c>
      <c r="P367" s="7">
        <v>0</v>
      </c>
      <c r="Q367" t="s">
        <v>41</v>
      </c>
      <c r="R367" s="9">
        <v>34285</v>
      </c>
      <c r="S367" s="10">
        <v>6.26</v>
      </c>
      <c r="T367" s="9">
        <v>176372.47</v>
      </c>
      <c r="U367" s="6">
        <v>59</v>
      </c>
      <c r="V367" t="s">
        <v>29</v>
      </c>
    </row>
    <row r="368" spans="1:22" x14ac:dyDescent="0.25">
      <c r="A368" t="s">
        <v>523</v>
      </c>
      <c r="B368" s="1">
        <v>45940</v>
      </c>
      <c r="C368" s="7">
        <f>YEAR(Table2[[#This Row],[Date]])</f>
        <v>2025</v>
      </c>
      <c r="D368" t="s">
        <v>22</v>
      </c>
      <c r="E368" t="s">
        <v>72</v>
      </c>
      <c r="F368" t="s">
        <v>38</v>
      </c>
      <c r="G368" t="b">
        <v>0</v>
      </c>
      <c r="H368" s="10">
        <v>0</v>
      </c>
      <c r="I368" s="10">
        <v>4</v>
      </c>
      <c r="J368" t="s">
        <v>54</v>
      </c>
      <c r="K368" s="9">
        <v>35426</v>
      </c>
      <c r="L368" t="s">
        <v>45</v>
      </c>
      <c r="M368" t="s">
        <v>27</v>
      </c>
      <c r="N368" s="7">
        <v>33</v>
      </c>
      <c r="O368" s="10">
        <v>0</v>
      </c>
      <c r="P368" s="7">
        <v>0</v>
      </c>
      <c r="Q368" t="s">
        <v>46</v>
      </c>
      <c r="R368" s="9">
        <v>94477</v>
      </c>
      <c r="S368" s="10">
        <v>5.53</v>
      </c>
      <c r="T368" s="9">
        <v>103980.48</v>
      </c>
      <c r="U368" s="6">
        <v>64</v>
      </c>
      <c r="V368" t="s">
        <v>29</v>
      </c>
    </row>
    <row r="369" spans="1:22" x14ac:dyDescent="0.25">
      <c r="A369" t="s">
        <v>524</v>
      </c>
      <c r="B369" s="1">
        <v>45660</v>
      </c>
      <c r="C369" s="7">
        <f>YEAR(Table2[[#This Row],[Date]])</f>
        <v>2025</v>
      </c>
      <c r="D369" t="s">
        <v>89</v>
      </c>
      <c r="E369" t="s">
        <v>66</v>
      </c>
      <c r="F369" t="s">
        <v>38</v>
      </c>
      <c r="G369" t="b">
        <v>0</v>
      </c>
      <c r="H369" s="10">
        <v>3</v>
      </c>
      <c r="I369" s="10">
        <v>1</v>
      </c>
      <c r="J369" t="s">
        <v>25</v>
      </c>
      <c r="K369" s="9">
        <v>22282</v>
      </c>
      <c r="L369" t="s">
        <v>341</v>
      </c>
      <c r="M369" t="s">
        <v>27</v>
      </c>
      <c r="N369" s="7">
        <v>26</v>
      </c>
      <c r="O369" s="10">
        <v>1</v>
      </c>
      <c r="P369" s="7">
        <v>2</v>
      </c>
      <c r="Q369" t="s">
        <v>28</v>
      </c>
      <c r="R369" s="9">
        <v>19655</v>
      </c>
      <c r="S369" s="10">
        <v>2.02</v>
      </c>
      <c r="T369" s="9">
        <v>90405.66</v>
      </c>
      <c r="U369" s="6">
        <v>48</v>
      </c>
      <c r="V369" t="s">
        <v>42</v>
      </c>
    </row>
    <row r="370" spans="1:22" x14ac:dyDescent="0.25">
      <c r="A370" t="s">
        <v>525</v>
      </c>
      <c r="B370" s="1">
        <v>45440</v>
      </c>
      <c r="C370" s="7">
        <f>YEAR(Table2[[#This Row],[Date]])</f>
        <v>2024</v>
      </c>
      <c r="D370" t="s">
        <v>31</v>
      </c>
      <c r="E370" t="s">
        <v>32</v>
      </c>
      <c r="F370" t="s">
        <v>38</v>
      </c>
      <c r="G370" t="b">
        <v>0</v>
      </c>
      <c r="H370" s="10">
        <v>5</v>
      </c>
      <c r="I370" s="10">
        <v>3</v>
      </c>
      <c r="J370" t="s">
        <v>25</v>
      </c>
      <c r="K370" s="9">
        <v>21619</v>
      </c>
      <c r="L370" t="s">
        <v>301</v>
      </c>
      <c r="M370" t="s">
        <v>27</v>
      </c>
      <c r="N370" s="7">
        <v>82</v>
      </c>
      <c r="O370" s="10">
        <v>2</v>
      </c>
      <c r="P370" s="7">
        <v>1</v>
      </c>
      <c r="Q370" t="s">
        <v>87</v>
      </c>
      <c r="R370" s="9">
        <v>97220</v>
      </c>
      <c r="S370" s="10">
        <v>4.0599999999999996</v>
      </c>
      <c r="T370" s="9">
        <v>158659.63</v>
      </c>
      <c r="U370" s="6">
        <v>57</v>
      </c>
      <c r="V370" t="s">
        <v>29</v>
      </c>
    </row>
    <row r="371" spans="1:22" x14ac:dyDescent="0.25">
      <c r="A371" t="s">
        <v>526</v>
      </c>
      <c r="B371" s="1">
        <v>45380</v>
      </c>
      <c r="C371" s="7">
        <f>YEAR(Table2[[#This Row],[Date]])</f>
        <v>2024</v>
      </c>
      <c r="D371" t="s">
        <v>89</v>
      </c>
      <c r="E371" t="s">
        <v>98</v>
      </c>
      <c r="F371" t="s">
        <v>24</v>
      </c>
      <c r="G371" t="b">
        <v>1</v>
      </c>
      <c r="H371" s="10">
        <v>4</v>
      </c>
      <c r="I371" s="10">
        <v>0</v>
      </c>
      <c r="J371" t="s">
        <v>25</v>
      </c>
      <c r="K371" s="9">
        <v>49000</v>
      </c>
      <c r="L371" t="s">
        <v>70</v>
      </c>
      <c r="M371" t="s">
        <v>61</v>
      </c>
      <c r="N371" s="7">
        <v>93</v>
      </c>
      <c r="O371" s="10">
        <v>0</v>
      </c>
      <c r="P371" s="7">
        <v>0</v>
      </c>
      <c r="Q371" t="s">
        <v>62</v>
      </c>
      <c r="R371" s="9">
        <v>148060</v>
      </c>
      <c r="S371" s="10">
        <v>7.22</v>
      </c>
      <c r="T371" s="9">
        <v>215145.26</v>
      </c>
      <c r="U371" s="6">
        <v>45</v>
      </c>
      <c r="V371" t="s">
        <v>29</v>
      </c>
    </row>
    <row r="372" spans="1:22" x14ac:dyDescent="0.25">
      <c r="A372" t="s">
        <v>527</v>
      </c>
      <c r="B372" s="1">
        <v>45504</v>
      </c>
      <c r="C372" s="7">
        <f>YEAR(Table2[[#This Row],[Date]])</f>
        <v>2024</v>
      </c>
      <c r="D372" t="s">
        <v>53</v>
      </c>
      <c r="E372" t="s">
        <v>48</v>
      </c>
      <c r="F372" t="s">
        <v>44</v>
      </c>
      <c r="G372" t="b">
        <v>0</v>
      </c>
      <c r="H372" s="10">
        <v>1</v>
      </c>
      <c r="I372" s="10">
        <v>0</v>
      </c>
      <c r="J372" t="s">
        <v>25</v>
      </c>
      <c r="K372" s="9">
        <v>8214</v>
      </c>
      <c r="L372" t="s">
        <v>296</v>
      </c>
      <c r="M372" t="s">
        <v>61</v>
      </c>
      <c r="N372" s="7">
        <v>55</v>
      </c>
      <c r="O372" s="10">
        <v>0</v>
      </c>
      <c r="P372" s="7">
        <v>0</v>
      </c>
      <c r="Q372" t="s">
        <v>41</v>
      </c>
      <c r="R372" s="9">
        <v>52799</v>
      </c>
      <c r="S372" s="10">
        <v>4.1399999999999997</v>
      </c>
      <c r="T372" s="9">
        <v>61107.76</v>
      </c>
      <c r="U372" s="6">
        <v>22</v>
      </c>
      <c r="V372" t="s">
        <v>29</v>
      </c>
    </row>
    <row r="373" spans="1:22" x14ac:dyDescent="0.25">
      <c r="A373" t="s">
        <v>528</v>
      </c>
      <c r="B373" s="1">
        <v>45708</v>
      </c>
      <c r="C373" s="7">
        <f>YEAR(Table2[[#This Row],[Date]])</f>
        <v>2025</v>
      </c>
      <c r="D373" t="s">
        <v>97</v>
      </c>
      <c r="E373" t="s">
        <v>48</v>
      </c>
      <c r="F373" t="s">
        <v>24</v>
      </c>
      <c r="G373" t="b">
        <v>0</v>
      </c>
      <c r="H373" s="10">
        <v>3</v>
      </c>
      <c r="I373" s="10">
        <v>0</v>
      </c>
      <c r="J373" t="s">
        <v>25</v>
      </c>
      <c r="K373" s="9">
        <v>33755</v>
      </c>
      <c r="L373" t="s">
        <v>215</v>
      </c>
      <c r="M373" t="s">
        <v>27</v>
      </c>
      <c r="N373" s="7">
        <v>88</v>
      </c>
      <c r="O373" s="10">
        <v>0</v>
      </c>
      <c r="P373" s="7">
        <v>0</v>
      </c>
      <c r="Q373" t="s">
        <v>81</v>
      </c>
      <c r="R373" s="9">
        <v>39903</v>
      </c>
      <c r="S373" s="10">
        <v>7.97</v>
      </c>
      <c r="T373" s="9">
        <v>223393.65</v>
      </c>
      <c r="U373" s="6">
        <v>35</v>
      </c>
      <c r="V373" t="s">
        <v>29</v>
      </c>
    </row>
    <row r="374" spans="1:22" x14ac:dyDescent="0.25">
      <c r="A374" t="s">
        <v>529</v>
      </c>
      <c r="B374" s="1">
        <v>45552</v>
      </c>
      <c r="C374" s="7">
        <f>YEAR(Table2[[#This Row],[Date]])</f>
        <v>2024</v>
      </c>
      <c r="D374" t="s">
        <v>97</v>
      </c>
      <c r="E374" t="s">
        <v>37</v>
      </c>
      <c r="F374" t="s">
        <v>44</v>
      </c>
      <c r="G374" t="b">
        <v>0</v>
      </c>
      <c r="H374" s="10">
        <v>1</v>
      </c>
      <c r="I374" s="10">
        <v>1</v>
      </c>
      <c r="J374" t="s">
        <v>39</v>
      </c>
      <c r="K374" s="9">
        <v>38108</v>
      </c>
      <c r="L374" t="s">
        <v>169</v>
      </c>
      <c r="M374" t="s">
        <v>50</v>
      </c>
      <c r="N374" s="7">
        <v>80</v>
      </c>
      <c r="O374" s="10">
        <v>1</v>
      </c>
      <c r="P374" s="7">
        <v>1</v>
      </c>
      <c r="Q374" t="s">
        <v>81</v>
      </c>
      <c r="R374" s="9">
        <v>55804</v>
      </c>
      <c r="S374" s="10">
        <v>7.33</v>
      </c>
      <c r="T374" s="9">
        <v>179536.56</v>
      </c>
      <c r="U374" s="6">
        <v>18</v>
      </c>
      <c r="V374" t="s">
        <v>29</v>
      </c>
    </row>
    <row r="375" spans="1:22" x14ac:dyDescent="0.25">
      <c r="A375" t="s">
        <v>530</v>
      </c>
      <c r="B375" s="1">
        <v>45745</v>
      </c>
      <c r="C375" s="7">
        <f>YEAR(Table2[[#This Row],[Date]])</f>
        <v>2025</v>
      </c>
      <c r="D375" t="s">
        <v>31</v>
      </c>
      <c r="E375" t="s">
        <v>23</v>
      </c>
      <c r="F375" t="s">
        <v>24</v>
      </c>
      <c r="G375" t="b">
        <v>0</v>
      </c>
      <c r="H375" s="10">
        <v>5</v>
      </c>
      <c r="I375" s="10">
        <v>2</v>
      </c>
      <c r="J375" t="s">
        <v>25</v>
      </c>
      <c r="K375" s="9">
        <v>16036</v>
      </c>
      <c r="L375" t="s">
        <v>126</v>
      </c>
      <c r="M375" t="s">
        <v>27</v>
      </c>
      <c r="N375" s="7">
        <v>63</v>
      </c>
      <c r="O375" s="10">
        <v>0</v>
      </c>
      <c r="P375" s="7">
        <v>0</v>
      </c>
      <c r="Q375" t="s">
        <v>81</v>
      </c>
      <c r="R375" s="9">
        <v>34351</v>
      </c>
      <c r="S375" s="10">
        <v>5.74</v>
      </c>
      <c r="T375" s="9">
        <v>100975.59</v>
      </c>
      <c r="U375" s="6">
        <v>23</v>
      </c>
      <c r="V375" t="s">
        <v>42</v>
      </c>
    </row>
    <row r="376" spans="1:22" x14ac:dyDescent="0.25">
      <c r="A376" t="s">
        <v>531</v>
      </c>
      <c r="B376" s="1">
        <v>45452</v>
      </c>
      <c r="C376" s="7">
        <f>YEAR(Table2[[#This Row],[Date]])</f>
        <v>2024</v>
      </c>
      <c r="D376" t="s">
        <v>53</v>
      </c>
      <c r="E376" t="s">
        <v>32</v>
      </c>
      <c r="F376" t="s">
        <v>38</v>
      </c>
      <c r="G376" t="b">
        <v>1</v>
      </c>
      <c r="H376" s="10">
        <v>4</v>
      </c>
      <c r="I376" s="10">
        <v>2</v>
      </c>
      <c r="J376" t="s">
        <v>25</v>
      </c>
      <c r="K376" s="9">
        <v>7750</v>
      </c>
      <c r="L376" t="s">
        <v>75</v>
      </c>
      <c r="M376" t="s">
        <v>27</v>
      </c>
      <c r="N376" s="7">
        <v>78</v>
      </c>
      <c r="O376" s="10">
        <v>0</v>
      </c>
      <c r="P376" s="7">
        <v>2</v>
      </c>
      <c r="Q376" t="s">
        <v>62</v>
      </c>
      <c r="R376" s="9">
        <v>100646</v>
      </c>
      <c r="S376" s="10">
        <v>8.8800000000000008</v>
      </c>
      <c r="T376" s="9">
        <v>133606.46</v>
      </c>
      <c r="U376" s="6">
        <v>52</v>
      </c>
      <c r="V376" t="s">
        <v>42</v>
      </c>
    </row>
    <row r="377" spans="1:22" x14ac:dyDescent="0.25">
      <c r="A377" t="s">
        <v>532</v>
      </c>
      <c r="B377" s="1">
        <v>45983</v>
      </c>
      <c r="C377" s="7">
        <f>YEAR(Table2[[#This Row],[Date]])</f>
        <v>2025</v>
      </c>
      <c r="D377" t="s">
        <v>69</v>
      </c>
      <c r="E377" t="s">
        <v>66</v>
      </c>
      <c r="F377" t="s">
        <v>24</v>
      </c>
      <c r="G377" t="b">
        <v>0</v>
      </c>
      <c r="H377" s="10">
        <v>2</v>
      </c>
      <c r="I377" s="10">
        <v>0</v>
      </c>
      <c r="J377" t="s">
        <v>25</v>
      </c>
      <c r="K377" s="9">
        <v>18908</v>
      </c>
      <c r="L377" t="s">
        <v>331</v>
      </c>
      <c r="M377" t="s">
        <v>61</v>
      </c>
      <c r="N377" s="7">
        <v>51</v>
      </c>
      <c r="O377" s="10">
        <v>0</v>
      </c>
      <c r="P377" s="7">
        <v>1</v>
      </c>
      <c r="Q377" t="s">
        <v>87</v>
      </c>
      <c r="R377" s="9">
        <v>77199</v>
      </c>
      <c r="S377" s="10">
        <v>8.7799999999999994</v>
      </c>
      <c r="T377" s="9">
        <v>175453.87</v>
      </c>
      <c r="U377" s="6">
        <v>48</v>
      </c>
      <c r="V377" t="s">
        <v>29</v>
      </c>
    </row>
    <row r="378" spans="1:22" x14ac:dyDescent="0.25">
      <c r="A378" t="s">
        <v>533</v>
      </c>
      <c r="B378" s="1">
        <v>45853</v>
      </c>
      <c r="C378" s="7">
        <f>YEAR(Table2[[#This Row],[Date]])</f>
        <v>2025</v>
      </c>
      <c r="D378" t="s">
        <v>89</v>
      </c>
      <c r="E378" t="s">
        <v>32</v>
      </c>
      <c r="F378" t="s">
        <v>38</v>
      </c>
      <c r="G378" t="b">
        <v>1</v>
      </c>
      <c r="H378" s="10">
        <v>3</v>
      </c>
      <c r="I378" s="10">
        <v>0</v>
      </c>
      <c r="J378" t="s">
        <v>25</v>
      </c>
      <c r="K378" s="9">
        <v>30519</v>
      </c>
      <c r="L378" t="s">
        <v>223</v>
      </c>
      <c r="M378" t="s">
        <v>34</v>
      </c>
      <c r="N378" s="7">
        <v>69</v>
      </c>
      <c r="O378" s="10">
        <v>0</v>
      </c>
      <c r="P378" s="7">
        <v>0</v>
      </c>
      <c r="Q378" t="s">
        <v>81</v>
      </c>
      <c r="R378" s="9">
        <v>42928</v>
      </c>
      <c r="S378" s="10">
        <v>2.08</v>
      </c>
      <c r="T378" s="9">
        <v>229305.38</v>
      </c>
      <c r="U378" s="6">
        <v>64</v>
      </c>
      <c r="V378" t="s">
        <v>42</v>
      </c>
    </row>
    <row r="379" spans="1:22" x14ac:dyDescent="0.25">
      <c r="A379" t="s">
        <v>534</v>
      </c>
      <c r="B379" s="1">
        <v>45716</v>
      </c>
      <c r="C379" s="7">
        <f>YEAR(Table2[[#This Row],[Date]])</f>
        <v>2025</v>
      </c>
      <c r="D379" t="s">
        <v>89</v>
      </c>
      <c r="E379" t="s">
        <v>32</v>
      </c>
      <c r="F379" t="s">
        <v>44</v>
      </c>
      <c r="G379" t="b">
        <v>1</v>
      </c>
      <c r="H379" s="10">
        <v>5</v>
      </c>
      <c r="I379" s="10">
        <v>1</v>
      </c>
      <c r="J379" t="s">
        <v>25</v>
      </c>
      <c r="K379" s="9">
        <v>51475</v>
      </c>
      <c r="L379" t="s">
        <v>84</v>
      </c>
      <c r="M379" t="s">
        <v>34</v>
      </c>
      <c r="N379" s="7">
        <v>49</v>
      </c>
      <c r="O379" s="10">
        <v>1</v>
      </c>
      <c r="P379" s="7">
        <v>0</v>
      </c>
      <c r="Q379" t="s">
        <v>46</v>
      </c>
      <c r="R379" s="9">
        <v>104981</v>
      </c>
      <c r="S379" s="10">
        <v>6.91</v>
      </c>
      <c r="T379" s="9">
        <v>149013.24</v>
      </c>
      <c r="U379" s="6">
        <v>24</v>
      </c>
      <c r="V379" t="s">
        <v>42</v>
      </c>
    </row>
    <row r="380" spans="1:22" x14ac:dyDescent="0.25">
      <c r="A380" t="s">
        <v>535</v>
      </c>
      <c r="B380" s="1">
        <v>45667</v>
      </c>
      <c r="C380" s="7">
        <f>YEAR(Table2[[#This Row],[Date]])</f>
        <v>2025</v>
      </c>
      <c r="D380" t="s">
        <v>36</v>
      </c>
      <c r="E380" t="s">
        <v>72</v>
      </c>
      <c r="F380" t="s">
        <v>24</v>
      </c>
      <c r="G380" t="b">
        <v>0</v>
      </c>
      <c r="H380" s="10">
        <v>2</v>
      </c>
      <c r="I380" s="10">
        <v>3</v>
      </c>
      <c r="J380" t="s">
        <v>54</v>
      </c>
      <c r="K380" s="9">
        <v>40147</v>
      </c>
      <c r="L380" t="s">
        <v>353</v>
      </c>
      <c r="M380" t="s">
        <v>61</v>
      </c>
      <c r="N380" s="7">
        <v>29</v>
      </c>
      <c r="O380" s="10">
        <v>0</v>
      </c>
      <c r="P380" s="7">
        <v>0</v>
      </c>
      <c r="Q380" t="s">
        <v>81</v>
      </c>
      <c r="R380" s="9">
        <v>53846</v>
      </c>
      <c r="S380" s="10">
        <v>1.31</v>
      </c>
      <c r="T380" s="9">
        <v>54534.82</v>
      </c>
      <c r="U380" s="6">
        <v>33</v>
      </c>
      <c r="V380" t="s">
        <v>42</v>
      </c>
    </row>
    <row r="381" spans="1:22" x14ac:dyDescent="0.25">
      <c r="A381" t="s">
        <v>536</v>
      </c>
      <c r="B381" s="1">
        <v>45741</v>
      </c>
      <c r="C381" s="7">
        <f>YEAR(Table2[[#This Row],[Date]])</f>
        <v>2025</v>
      </c>
      <c r="D381" t="s">
        <v>31</v>
      </c>
      <c r="E381" t="s">
        <v>32</v>
      </c>
      <c r="F381" t="s">
        <v>24</v>
      </c>
      <c r="G381" t="b">
        <v>0</v>
      </c>
      <c r="H381" s="10">
        <v>0</v>
      </c>
      <c r="I381" s="10">
        <v>0</v>
      </c>
      <c r="J381" t="s">
        <v>39</v>
      </c>
      <c r="K381" s="9">
        <v>20001</v>
      </c>
      <c r="L381" t="s">
        <v>75</v>
      </c>
      <c r="M381" t="s">
        <v>34</v>
      </c>
      <c r="N381" s="7">
        <v>16</v>
      </c>
      <c r="O381" s="10">
        <v>0</v>
      </c>
      <c r="P381" s="7">
        <v>0</v>
      </c>
      <c r="Q381" t="s">
        <v>87</v>
      </c>
      <c r="R381" s="9">
        <v>2688</v>
      </c>
      <c r="S381" s="10">
        <v>5.56</v>
      </c>
      <c r="T381" s="9">
        <v>161842.65</v>
      </c>
      <c r="U381" s="6">
        <v>58</v>
      </c>
      <c r="V381" t="s">
        <v>29</v>
      </c>
    </row>
    <row r="382" spans="1:22" x14ac:dyDescent="0.25">
      <c r="A382" t="s">
        <v>537</v>
      </c>
      <c r="B382" s="1">
        <v>45375</v>
      </c>
      <c r="C382" s="7">
        <f>YEAR(Table2[[#This Row],[Date]])</f>
        <v>2024</v>
      </c>
      <c r="D382" t="s">
        <v>53</v>
      </c>
      <c r="E382" t="s">
        <v>37</v>
      </c>
      <c r="F382" t="s">
        <v>24</v>
      </c>
      <c r="G382" t="b">
        <v>1</v>
      </c>
      <c r="H382" s="10">
        <v>4</v>
      </c>
      <c r="I382" s="10">
        <v>0</v>
      </c>
      <c r="J382" t="s">
        <v>25</v>
      </c>
      <c r="K382" s="9">
        <v>51681</v>
      </c>
      <c r="L382" t="s">
        <v>362</v>
      </c>
      <c r="M382" t="s">
        <v>50</v>
      </c>
      <c r="N382" s="7">
        <v>70</v>
      </c>
      <c r="O382" s="10">
        <v>1</v>
      </c>
      <c r="P382" s="7">
        <v>0</v>
      </c>
      <c r="Q382" t="s">
        <v>46</v>
      </c>
      <c r="R382" s="9">
        <v>107713</v>
      </c>
      <c r="S382" s="10">
        <v>6.58</v>
      </c>
      <c r="T382" s="9">
        <v>160545.41</v>
      </c>
      <c r="U382" s="6">
        <v>42</v>
      </c>
      <c r="V382" t="s">
        <v>29</v>
      </c>
    </row>
    <row r="383" spans="1:22" x14ac:dyDescent="0.25">
      <c r="A383" t="s">
        <v>538</v>
      </c>
      <c r="B383" s="1">
        <v>45891</v>
      </c>
      <c r="C383" s="7">
        <f>YEAR(Table2[[#This Row],[Date]])</f>
        <v>2025</v>
      </c>
      <c r="D383" t="s">
        <v>53</v>
      </c>
      <c r="E383" t="s">
        <v>48</v>
      </c>
      <c r="F383" t="s">
        <v>38</v>
      </c>
      <c r="G383" t="b">
        <v>0</v>
      </c>
      <c r="H383" s="10">
        <v>2</v>
      </c>
      <c r="I383" s="10">
        <v>1</v>
      </c>
      <c r="J383" t="s">
        <v>25</v>
      </c>
      <c r="K383" s="9">
        <v>33041</v>
      </c>
      <c r="L383" t="s">
        <v>212</v>
      </c>
      <c r="M383" t="s">
        <v>27</v>
      </c>
      <c r="N383" s="7">
        <v>56</v>
      </c>
      <c r="O383" s="10">
        <v>0</v>
      </c>
      <c r="P383" s="7">
        <v>2</v>
      </c>
      <c r="Q383" t="s">
        <v>46</v>
      </c>
      <c r="R383" s="9">
        <v>52479</v>
      </c>
      <c r="S383" s="10">
        <v>8.2899999999999991</v>
      </c>
      <c r="T383" s="9">
        <v>140749.20000000001</v>
      </c>
      <c r="U383" s="6">
        <v>21</v>
      </c>
      <c r="V383" t="s">
        <v>42</v>
      </c>
    </row>
    <row r="384" spans="1:22" x14ac:dyDescent="0.25">
      <c r="A384" t="s">
        <v>539</v>
      </c>
      <c r="B384" s="1">
        <v>45369</v>
      </c>
      <c r="C384" s="7">
        <f>YEAR(Table2[[#This Row],[Date]])</f>
        <v>2024</v>
      </c>
      <c r="D384" t="s">
        <v>97</v>
      </c>
      <c r="E384" t="s">
        <v>72</v>
      </c>
      <c r="F384" t="s">
        <v>44</v>
      </c>
      <c r="G384" t="b">
        <v>0</v>
      </c>
      <c r="H384" s="10">
        <v>4</v>
      </c>
      <c r="I384" s="10">
        <v>2</v>
      </c>
      <c r="J384" t="s">
        <v>25</v>
      </c>
      <c r="K384" s="9">
        <v>23708</v>
      </c>
      <c r="L384" t="s">
        <v>33</v>
      </c>
      <c r="M384" t="s">
        <v>34</v>
      </c>
      <c r="N384" s="7">
        <v>28</v>
      </c>
      <c r="O384" s="10">
        <v>1</v>
      </c>
      <c r="P384" s="7">
        <v>1</v>
      </c>
      <c r="Q384" t="s">
        <v>51</v>
      </c>
      <c r="R384" s="9">
        <v>55118</v>
      </c>
      <c r="S384" s="10">
        <v>4.16</v>
      </c>
      <c r="T384" s="9">
        <v>17065.900000000001</v>
      </c>
      <c r="U384" s="6">
        <v>30</v>
      </c>
      <c r="V384" t="s">
        <v>152</v>
      </c>
    </row>
    <row r="385" spans="1:22" x14ac:dyDescent="0.25">
      <c r="A385" t="s">
        <v>540</v>
      </c>
      <c r="B385" s="1">
        <v>45324</v>
      </c>
      <c r="C385" s="7">
        <f>YEAR(Table2[[#This Row],[Date]])</f>
        <v>2024</v>
      </c>
      <c r="D385" t="s">
        <v>31</v>
      </c>
      <c r="E385" t="s">
        <v>72</v>
      </c>
      <c r="F385" t="s">
        <v>24</v>
      </c>
      <c r="G385" t="b">
        <v>0</v>
      </c>
      <c r="H385" s="10">
        <v>2</v>
      </c>
      <c r="I385" s="10">
        <v>4</v>
      </c>
      <c r="J385" t="s">
        <v>54</v>
      </c>
      <c r="K385" s="9">
        <v>7171</v>
      </c>
      <c r="L385" t="s">
        <v>84</v>
      </c>
      <c r="M385" t="s">
        <v>34</v>
      </c>
      <c r="N385" s="7">
        <v>65</v>
      </c>
      <c r="O385" s="10">
        <v>0</v>
      </c>
      <c r="P385" s="7">
        <v>1</v>
      </c>
      <c r="Q385" t="s">
        <v>62</v>
      </c>
      <c r="R385" s="9">
        <v>3289</v>
      </c>
      <c r="S385" s="10">
        <v>8.44</v>
      </c>
      <c r="T385" s="9">
        <v>40992.28</v>
      </c>
      <c r="U385" s="6">
        <v>57</v>
      </c>
      <c r="V385" t="s">
        <v>42</v>
      </c>
    </row>
    <row r="386" spans="1:22" x14ac:dyDescent="0.25">
      <c r="A386" t="s">
        <v>541</v>
      </c>
      <c r="B386" s="1">
        <v>45881</v>
      </c>
      <c r="C386" s="7">
        <f>YEAR(Table2[[#This Row],[Date]])</f>
        <v>2025</v>
      </c>
      <c r="D386" t="s">
        <v>31</v>
      </c>
      <c r="E386" t="s">
        <v>48</v>
      </c>
      <c r="F386" t="s">
        <v>38</v>
      </c>
      <c r="G386" t="b">
        <v>0</v>
      </c>
      <c r="H386" s="10">
        <v>0</v>
      </c>
      <c r="I386" s="10">
        <v>0</v>
      </c>
      <c r="J386" t="s">
        <v>39</v>
      </c>
      <c r="K386" s="9">
        <v>7908</v>
      </c>
      <c r="L386" t="s">
        <v>103</v>
      </c>
      <c r="M386" t="s">
        <v>34</v>
      </c>
      <c r="N386" s="7">
        <v>75</v>
      </c>
      <c r="O386" s="10">
        <v>0</v>
      </c>
      <c r="P386" s="7">
        <v>1</v>
      </c>
      <c r="Q386" t="s">
        <v>28</v>
      </c>
      <c r="R386" s="9">
        <v>84006</v>
      </c>
      <c r="S386" s="10">
        <v>7.1</v>
      </c>
      <c r="T386" s="9">
        <v>123668.45</v>
      </c>
      <c r="U386" s="6">
        <v>63</v>
      </c>
      <c r="V386" t="s">
        <v>29</v>
      </c>
    </row>
    <row r="387" spans="1:22" x14ac:dyDescent="0.25">
      <c r="A387" t="s">
        <v>542</v>
      </c>
      <c r="B387" s="1">
        <v>45347</v>
      </c>
      <c r="C387" s="7">
        <f>YEAR(Table2[[#This Row],[Date]])</f>
        <v>2024</v>
      </c>
      <c r="D387" t="s">
        <v>77</v>
      </c>
      <c r="E387" t="s">
        <v>66</v>
      </c>
      <c r="F387" t="s">
        <v>38</v>
      </c>
      <c r="G387" t="b">
        <v>1</v>
      </c>
      <c r="H387" s="10">
        <v>4</v>
      </c>
      <c r="I387" s="10">
        <v>0</v>
      </c>
      <c r="J387" t="s">
        <v>25</v>
      </c>
      <c r="K387" s="9">
        <v>22062</v>
      </c>
      <c r="L387" t="s">
        <v>257</v>
      </c>
      <c r="M387" t="s">
        <v>61</v>
      </c>
      <c r="N387" s="7">
        <v>62</v>
      </c>
      <c r="O387" s="10">
        <v>1</v>
      </c>
      <c r="P387" s="7">
        <v>1</v>
      </c>
      <c r="Q387" t="s">
        <v>41</v>
      </c>
      <c r="R387" s="9">
        <v>78035</v>
      </c>
      <c r="S387" s="10">
        <v>3.77</v>
      </c>
      <c r="T387" s="9">
        <v>216434.2</v>
      </c>
      <c r="U387" s="6">
        <v>45</v>
      </c>
      <c r="V387" t="s">
        <v>42</v>
      </c>
    </row>
    <row r="388" spans="1:22" x14ac:dyDescent="0.25">
      <c r="A388" t="s">
        <v>543</v>
      </c>
      <c r="B388" s="1">
        <v>45868</v>
      </c>
      <c r="C388" s="7">
        <f>YEAR(Table2[[#This Row],[Date]])</f>
        <v>2025</v>
      </c>
      <c r="D388" t="s">
        <v>97</v>
      </c>
      <c r="E388" t="s">
        <v>23</v>
      </c>
      <c r="F388" t="s">
        <v>38</v>
      </c>
      <c r="G388" t="b">
        <v>1</v>
      </c>
      <c r="H388" s="10">
        <v>3</v>
      </c>
      <c r="I388" s="10">
        <v>4</v>
      </c>
      <c r="J388" t="s">
        <v>54</v>
      </c>
      <c r="K388" s="9">
        <v>31593</v>
      </c>
      <c r="L388" t="s">
        <v>205</v>
      </c>
      <c r="M388" t="s">
        <v>50</v>
      </c>
      <c r="N388" s="7">
        <v>92</v>
      </c>
      <c r="O388" s="10">
        <v>1</v>
      </c>
      <c r="P388" s="7">
        <v>0</v>
      </c>
      <c r="Q388" t="s">
        <v>46</v>
      </c>
      <c r="R388" s="9">
        <v>107723</v>
      </c>
      <c r="S388" s="10">
        <v>4.3899999999999997</v>
      </c>
      <c r="T388" s="9">
        <v>212229.34</v>
      </c>
      <c r="U388" s="6">
        <v>50</v>
      </c>
      <c r="V388" t="s">
        <v>42</v>
      </c>
    </row>
    <row r="389" spans="1:22" x14ac:dyDescent="0.25">
      <c r="A389" t="s">
        <v>544</v>
      </c>
      <c r="B389" s="1">
        <v>45492</v>
      </c>
      <c r="C389" s="7">
        <f>YEAR(Table2[[#This Row],[Date]])</f>
        <v>2024</v>
      </c>
      <c r="D389" t="s">
        <v>69</v>
      </c>
      <c r="E389" t="s">
        <v>72</v>
      </c>
      <c r="F389" t="s">
        <v>38</v>
      </c>
      <c r="G389" t="b">
        <v>0</v>
      </c>
      <c r="H389" s="10">
        <v>5</v>
      </c>
      <c r="I389" s="10">
        <v>3</v>
      </c>
      <c r="J389" t="s">
        <v>25</v>
      </c>
      <c r="K389" s="9">
        <v>42551</v>
      </c>
      <c r="L389" t="s">
        <v>253</v>
      </c>
      <c r="M389" t="s">
        <v>27</v>
      </c>
      <c r="N389" s="7">
        <v>60</v>
      </c>
      <c r="O389" s="10">
        <v>0</v>
      </c>
      <c r="P389" s="7">
        <v>1</v>
      </c>
      <c r="Q389" t="s">
        <v>41</v>
      </c>
      <c r="R389" s="9">
        <v>130833</v>
      </c>
      <c r="S389" s="10">
        <v>3.01</v>
      </c>
      <c r="T389" s="9">
        <v>195358.31</v>
      </c>
      <c r="U389" s="6">
        <v>62</v>
      </c>
      <c r="V389" t="s">
        <v>29</v>
      </c>
    </row>
    <row r="390" spans="1:22" x14ac:dyDescent="0.25">
      <c r="A390" t="s">
        <v>545</v>
      </c>
      <c r="B390" s="1">
        <v>45449</v>
      </c>
      <c r="C390" s="7">
        <f>YEAR(Table2[[#This Row],[Date]])</f>
        <v>2024</v>
      </c>
      <c r="D390" t="s">
        <v>97</v>
      </c>
      <c r="E390" t="s">
        <v>32</v>
      </c>
      <c r="F390" t="s">
        <v>24</v>
      </c>
      <c r="G390" t="b">
        <v>1</v>
      </c>
      <c r="H390" s="10">
        <v>5</v>
      </c>
      <c r="I390" s="10">
        <v>1</v>
      </c>
      <c r="J390" t="s">
        <v>25</v>
      </c>
      <c r="K390" s="9">
        <v>45624</v>
      </c>
      <c r="L390" t="s">
        <v>151</v>
      </c>
      <c r="M390" t="s">
        <v>27</v>
      </c>
      <c r="N390" s="7">
        <v>54</v>
      </c>
      <c r="O390" s="10">
        <v>1</v>
      </c>
      <c r="P390" s="7">
        <v>0</v>
      </c>
      <c r="Q390" t="s">
        <v>46</v>
      </c>
      <c r="R390" s="9">
        <v>93257</v>
      </c>
      <c r="S390" s="10">
        <v>5.25</v>
      </c>
      <c r="T390" s="9">
        <v>43251.65</v>
      </c>
      <c r="U390" s="6">
        <v>54</v>
      </c>
      <c r="V390" t="s">
        <v>42</v>
      </c>
    </row>
    <row r="391" spans="1:22" x14ac:dyDescent="0.25">
      <c r="A391" t="s">
        <v>546</v>
      </c>
      <c r="B391" s="1">
        <v>45441</v>
      </c>
      <c r="C391" s="7">
        <f>YEAR(Table2[[#This Row],[Date]])</f>
        <v>2024</v>
      </c>
      <c r="D391" t="s">
        <v>31</v>
      </c>
      <c r="E391" t="s">
        <v>23</v>
      </c>
      <c r="F391" t="s">
        <v>24</v>
      </c>
      <c r="G391" t="b">
        <v>1</v>
      </c>
      <c r="H391" s="10">
        <v>1</v>
      </c>
      <c r="I391" s="10">
        <v>4</v>
      </c>
      <c r="J391" t="s">
        <v>54</v>
      </c>
      <c r="K391" s="9">
        <v>47480</v>
      </c>
      <c r="L391" t="s">
        <v>105</v>
      </c>
      <c r="M391" t="s">
        <v>61</v>
      </c>
      <c r="N391" s="7">
        <v>71</v>
      </c>
      <c r="O391" s="10">
        <v>0</v>
      </c>
      <c r="P391" s="7">
        <v>2</v>
      </c>
      <c r="Q391" t="s">
        <v>28</v>
      </c>
      <c r="R391" s="9">
        <v>1144</v>
      </c>
      <c r="S391" s="10">
        <v>1.71</v>
      </c>
      <c r="T391" s="9">
        <v>83239.61</v>
      </c>
      <c r="U391" s="6">
        <v>47</v>
      </c>
      <c r="V391" t="s">
        <v>42</v>
      </c>
    </row>
    <row r="392" spans="1:22" x14ac:dyDescent="0.25">
      <c r="A392" t="s">
        <v>547</v>
      </c>
      <c r="B392" s="1">
        <v>45650</v>
      </c>
      <c r="C392" s="7">
        <f>YEAR(Table2[[#This Row],[Date]])</f>
        <v>2024</v>
      </c>
      <c r="D392" t="s">
        <v>89</v>
      </c>
      <c r="E392" t="s">
        <v>72</v>
      </c>
      <c r="F392" t="s">
        <v>38</v>
      </c>
      <c r="G392" t="b">
        <v>0</v>
      </c>
      <c r="H392" s="10">
        <v>1</v>
      </c>
      <c r="I392" s="10">
        <v>0</v>
      </c>
      <c r="J392" t="s">
        <v>25</v>
      </c>
      <c r="K392" s="9">
        <v>41420</v>
      </c>
      <c r="L392" t="s">
        <v>45</v>
      </c>
      <c r="M392" t="s">
        <v>61</v>
      </c>
      <c r="N392" s="7">
        <v>84</v>
      </c>
      <c r="O392" s="10">
        <v>1</v>
      </c>
      <c r="P392" s="7">
        <v>1</v>
      </c>
      <c r="Q392" t="s">
        <v>41</v>
      </c>
      <c r="R392" s="9">
        <v>133904</v>
      </c>
      <c r="S392" s="10">
        <v>8.2200000000000006</v>
      </c>
      <c r="T392" s="9">
        <v>184918.04</v>
      </c>
      <c r="U392" s="6">
        <v>62</v>
      </c>
      <c r="V392" t="s">
        <v>29</v>
      </c>
    </row>
    <row r="393" spans="1:22" x14ac:dyDescent="0.25">
      <c r="A393" t="s">
        <v>548</v>
      </c>
      <c r="B393" s="1">
        <v>45744</v>
      </c>
      <c r="C393" s="7">
        <f>YEAR(Table2[[#This Row],[Date]])</f>
        <v>2025</v>
      </c>
      <c r="D393" t="s">
        <v>36</v>
      </c>
      <c r="E393" t="s">
        <v>83</v>
      </c>
      <c r="F393" t="s">
        <v>44</v>
      </c>
      <c r="G393" t="b">
        <v>0</v>
      </c>
      <c r="H393" s="10">
        <v>2</v>
      </c>
      <c r="I393" s="10">
        <v>3</v>
      </c>
      <c r="J393" t="s">
        <v>54</v>
      </c>
      <c r="K393" s="9">
        <v>34154</v>
      </c>
      <c r="L393" t="s">
        <v>133</v>
      </c>
      <c r="M393" t="s">
        <v>34</v>
      </c>
      <c r="N393" s="7">
        <v>22</v>
      </c>
      <c r="O393" s="10">
        <v>0</v>
      </c>
      <c r="P393" s="7">
        <v>0</v>
      </c>
      <c r="Q393" t="s">
        <v>51</v>
      </c>
      <c r="R393" s="9">
        <v>20929</v>
      </c>
      <c r="S393" s="10">
        <v>9.15</v>
      </c>
      <c r="T393" s="9">
        <v>132955.25</v>
      </c>
      <c r="U393" s="6">
        <v>25</v>
      </c>
      <c r="V393" t="s">
        <v>29</v>
      </c>
    </row>
    <row r="394" spans="1:22" x14ac:dyDescent="0.25">
      <c r="A394" t="s">
        <v>549</v>
      </c>
      <c r="B394" s="1">
        <v>45866</v>
      </c>
      <c r="C394" s="7">
        <f>YEAR(Table2[[#This Row],[Date]])</f>
        <v>2025</v>
      </c>
      <c r="D394" t="s">
        <v>22</v>
      </c>
      <c r="E394" t="s">
        <v>32</v>
      </c>
      <c r="F394" t="s">
        <v>44</v>
      </c>
      <c r="G394" t="b">
        <v>0</v>
      </c>
      <c r="H394" s="10">
        <v>4</v>
      </c>
      <c r="I394" s="10">
        <v>4</v>
      </c>
      <c r="J394" t="s">
        <v>39</v>
      </c>
      <c r="K394" s="9">
        <v>14726</v>
      </c>
      <c r="L394" t="s">
        <v>221</v>
      </c>
      <c r="M394" t="s">
        <v>34</v>
      </c>
      <c r="N394" s="7">
        <v>45</v>
      </c>
      <c r="O394" s="10">
        <v>2</v>
      </c>
      <c r="P394" s="7">
        <v>1</v>
      </c>
      <c r="Q394" t="s">
        <v>41</v>
      </c>
      <c r="R394" s="9">
        <v>23702</v>
      </c>
      <c r="S394" s="10">
        <v>7.49</v>
      </c>
      <c r="T394" s="9">
        <v>159582.37</v>
      </c>
      <c r="U394" s="6">
        <v>56</v>
      </c>
      <c r="V394" t="s">
        <v>29</v>
      </c>
    </row>
    <row r="395" spans="1:22" x14ac:dyDescent="0.25">
      <c r="A395" t="s">
        <v>550</v>
      </c>
      <c r="B395" s="1">
        <v>45968</v>
      </c>
      <c r="C395" s="7">
        <f>YEAR(Table2[[#This Row],[Date]])</f>
        <v>2025</v>
      </c>
      <c r="D395" t="s">
        <v>53</v>
      </c>
      <c r="E395" t="s">
        <v>37</v>
      </c>
      <c r="F395" t="s">
        <v>24</v>
      </c>
      <c r="G395" t="b">
        <v>1</v>
      </c>
      <c r="H395" s="10">
        <v>4</v>
      </c>
      <c r="I395" s="10">
        <v>3</v>
      </c>
      <c r="J395" t="s">
        <v>25</v>
      </c>
      <c r="K395" s="9">
        <v>41390</v>
      </c>
      <c r="L395" t="s">
        <v>251</v>
      </c>
      <c r="M395" t="s">
        <v>61</v>
      </c>
      <c r="N395" s="7">
        <v>83</v>
      </c>
      <c r="O395" s="10">
        <v>0</v>
      </c>
      <c r="P395" s="7">
        <v>0</v>
      </c>
      <c r="Q395" t="s">
        <v>62</v>
      </c>
      <c r="R395" s="9">
        <v>93312</v>
      </c>
      <c r="S395" s="10">
        <v>3.98</v>
      </c>
      <c r="T395" s="9">
        <v>15600.79</v>
      </c>
      <c r="U395" s="6">
        <v>25</v>
      </c>
      <c r="V395" t="s">
        <v>29</v>
      </c>
    </row>
    <row r="396" spans="1:22" x14ac:dyDescent="0.25">
      <c r="A396" t="s">
        <v>551</v>
      </c>
      <c r="B396" s="1">
        <v>45963</v>
      </c>
      <c r="C396" s="7">
        <f>YEAR(Table2[[#This Row],[Date]])</f>
        <v>2025</v>
      </c>
      <c r="D396" t="s">
        <v>36</v>
      </c>
      <c r="E396" t="s">
        <v>98</v>
      </c>
      <c r="F396" t="s">
        <v>44</v>
      </c>
      <c r="G396" t="b">
        <v>1</v>
      </c>
      <c r="H396" s="10">
        <v>0</v>
      </c>
      <c r="I396" s="10">
        <v>4</v>
      </c>
      <c r="J396" t="s">
        <v>54</v>
      </c>
      <c r="K396" s="9">
        <v>50210</v>
      </c>
      <c r="L396" t="s">
        <v>149</v>
      </c>
      <c r="M396" t="s">
        <v>27</v>
      </c>
      <c r="N396" s="7">
        <v>81</v>
      </c>
      <c r="O396" s="10">
        <v>1</v>
      </c>
      <c r="P396" s="7">
        <v>2</v>
      </c>
      <c r="Q396" t="s">
        <v>87</v>
      </c>
      <c r="R396" s="9">
        <v>110650</v>
      </c>
      <c r="S396" s="10">
        <v>6.95</v>
      </c>
      <c r="T396" s="9">
        <v>148831.87</v>
      </c>
      <c r="U396" s="6">
        <v>38</v>
      </c>
      <c r="V396" t="s">
        <v>29</v>
      </c>
    </row>
    <row r="397" spans="1:22" x14ac:dyDescent="0.25">
      <c r="A397" t="s">
        <v>552</v>
      </c>
      <c r="B397" s="1">
        <v>45719</v>
      </c>
      <c r="C397" s="7">
        <f>YEAR(Table2[[#This Row],[Date]])</f>
        <v>2025</v>
      </c>
      <c r="D397" t="s">
        <v>89</v>
      </c>
      <c r="E397" t="s">
        <v>98</v>
      </c>
      <c r="F397" t="s">
        <v>38</v>
      </c>
      <c r="G397" t="b">
        <v>0</v>
      </c>
      <c r="H397" s="10">
        <v>5</v>
      </c>
      <c r="I397" s="10">
        <v>2</v>
      </c>
      <c r="J397" t="s">
        <v>25</v>
      </c>
      <c r="K397" s="9">
        <v>53218</v>
      </c>
      <c r="L397" t="s">
        <v>70</v>
      </c>
      <c r="M397" t="s">
        <v>34</v>
      </c>
      <c r="N397" s="7">
        <v>13</v>
      </c>
      <c r="O397" s="10">
        <v>0</v>
      </c>
      <c r="P397" s="7">
        <v>0</v>
      </c>
      <c r="Q397" t="s">
        <v>62</v>
      </c>
      <c r="R397" s="9">
        <v>52706</v>
      </c>
      <c r="S397" s="10">
        <v>1.0900000000000001</v>
      </c>
      <c r="T397" s="9">
        <v>213298.46</v>
      </c>
      <c r="U397" s="6">
        <v>43</v>
      </c>
      <c r="V397" t="s">
        <v>29</v>
      </c>
    </row>
    <row r="398" spans="1:22" x14ac:dyDescent="0.25">
      <c r="A398" t="s">
        <v>553</v>
      </c>
      <c r="B398" s="1">
        <v>46004</v>
      </c>
      <c r="C398" s="7">
        <f>YEAR(Table2[[#This Row],[Date]])</f>
        <v>2025</v>
      </c>
      <c r="D398" t="s">
        <v>77</v>
      </c>
      <c r="E398" t="s">
        <v>83</v>
      </c>
      <c r="F398" t="s">
        <v>44</v>
      </c>
      <c r="G398" t="b">
        <v>0</v>
      </c>
      <c r="H398" s="10">
        <v>0</v>
      </c>
      <c r="I398" s="10">
        <v>1</v>
      </c>
      <c r="J398" t="s">
        <v>54</v>
      </c>
      <c r="K398" s="9">
        <v>51104</v>
      </c>
      <c r="L398" t="s">
        <v>80</v>
      </c>
      <c r="M398" t="s">
        <v>27</v>
      </c>
      <c r="N398" s="7">
        <v>38</v>
      </c>
      <c r="O398" s="10">
        <v>1</v>
      </c>
      <c r="P398" s="7">
        <v>2</v>
      </c>
      <c r="Q398" t="s">
        <v>51</v>
      </c>
      <c r="R398" s="9">
        <v>48020</v>
      </c>
      <c r="S398" s="10">
        <v>3.7</v>
      </c>
      <c r="T398" s="9">
        <v>62839.66</v>
      </c>
      <c r="U398" s="6">
        <v>44</v>
      </c>
      <c r="V398" t="s">
        <v>29</v>
      </c>
    </row>
    <row r="399" spans="1:22" x14ac:dyDescent="0.25">
      <c r="A399" t="s">
        <v>554</v>
      </c>
      <c r="B399" s="1">
        <v>45674</v>
      </c>
      <c r="C399" s="7">
        <f>YEAR(Table2[[#This Row],[Date]])</f>
        <v>2025</v>
      </c>
      <c r="D399" t="s">
        <v>31</v>
      </c>
      <c r="E399" t="s">
        <v>66</v>
      </c>
      <c r="F399" t="s">
        <v>44</v>
      </c>
      <c r="G399" t="b">
        <v>0</v>
      </c>
      <c r="H399" s="10">
        <v>2</v>
      </c>
      <c r="I399" s="10">
        <v>2</v>
      </c>
      <c r="J399" t="s">
        <v>39</v>
      </c>
      <c r="K399" s="9">
        <v>12497</v>
      </c>
      <c r="L399" t="s">
        <v>200</v>
      </c>
      <c r="M399" t="s">
        <v>34</v>
      </c>
      <c r="N399" s="7">
        <v>23</v>
      </c>
      <c r="O399" s="10">
        <v>0</v>
      </c>
      <c r="P399" s="7">
        <v>0</v>
      </c>
      <c r="Q399" t="s">
        <v>81</v>
      </c>
      <c r="R399" s="9">
        <v>58843</v>
      </c>
      <c r="S399" s="10">
        <v>7.3</v>
      </c>
      <c r="T399" s="9">
        <v>142190.21</v>
      </c>
      <c r="U399" s="6">
        <v>28</v>
      </c>
      <c r="V399" t="s">
        <v>42</v>
      </c>
    </row>
    <row r="400" spans="1:22" x14ac:dyDescent="0.25">
      <c r="A400" t="s">
        <v>555</v>
      </c>
      <c r="B400" s="1">
        <v>45408</v>
      </c>
      <c r="C400" s="7">
        <f>YEAR(Table2[[#This Row],[Date]])</f>
        <v>2024</v>
      </c>
      <c r="D400" t="s">
        <v>53</v>
      </c>
      <c r="E400" t="s">
        <v>98</v>
      </c>
      <c r="F400" t="s">
        <v>44</v>
      </c>
      <c r="G400" t="b">
        <v>1</v>
      </c>
      <c r="H400" s="10">
        <v>0</v>
      </c>
      <c r="I400" s="10">
        <v>3</v>
      </c>
      <c r="J400" t="s">
        <v>54</v>
      </c>
      <c r="K400" s="9">
        <v>51617</v>
      </c>
      <c r="L400" t="s">
        <v>111</v>
      </c>
      <c r="M400" t="s">
        <v>27</v>
      </c>
      <c r="N400" s="7">
        <v>36</v>
      </c>
      <c r="O400" s="10">
        <v>2</v>
      </c>
      <c r="P400" s="7">
        <v>0</v>
      </c>
      <c r="Q400" t="s">
        <v>87</v>
      </c>
      <c r="R400" s="9">
        <v>16837</v>
      </c>
      <c r="S400" s="10">
        <v>8.7200000000000006</v>
      </c>
      <c r="T400" s="9">
        <v>137368.85</v>
      </c>
      <c r="U400" s="6">
        <v>26</v>
      </c>
      <c r="V400" t="s">
        <v>42</v>
      </c>
    </row>
    <row r="401" spans="1:22" x14ac:dyDescent="0.25">
      <c r="A401" t="s">
        <v>556</v>
      </c>
      <c r="B401" s="1">
        <v>45877</v>
      </c>
      <c r="C401" s="7">
        <f>YEAR(Table2[[#This Row],[Date]])</f>
        <v>2025</v>
      </c>
      <c r="D401" t="s">
        <v>36</v>
      </c>
      <c r="E401" t="s">
        <v>98</v>
      </c>
      <c r="F401" t="s">
        <v>38</v>
      </c>
      <c r="G401" t="b">
        <v>0</v>
      </c>
      <c r="H401" s="10">
        <v>5</v>
      </c>
      <c r="I401" s="10">
        <v>0</v>
      </c>
      <c r="J401" t="s">
        <v>25</v>
      </c>
      <c r="K401" s="9">
        <v>24637</v>
      </c>
      <c r="L401" t="s">
        <v>33</v>
      </c>
      <c r="M401" t="s">
        <v>50</v>
      </c>
      <c r="N401" s="7">
        <v>33</v>
      </c>
      <c r="O401" s="10">
        <v>1</v>
      </c>
      <c r="P401" s="7">
        <v>2</v>
      </c>
      <c r="Q401" t="s">
        <v>46</v>
      </c>
      <c r="R401" s="9">
        <v>40823</v>
      </c>
      <c r="S401" s="10">
        <v>6.22</v>
      </c>
      <c r="T401" s="9">
        <v>48172.17</v>
      </c>
      <c r="U401" s="6">
        <v>30</v>
      </c>
      <c r="V401" t="s">
        <v>29</v>
      </c>
    </row>
    <row r="402" spans="1:22" x14ac:dyDescent="0.25">
      <c r="A402" t="s">
        <v>557</v>
      </c>
      <c r="B402" s="1">
        <v>45665</v>
      </c>
      <c r="C402" s="7">
        <f>YEAR(Table2[[#This Row],[Date]])</f>
        <v>2025</v>
      </c>
      <c r="D402" t="s">
        <v>36</v>
      </c>
      <c r="E402" t="s">
        <v>23</v>
      </c>
      <c r="F402" t="s">
        <v>38</v>
      </c>
      <c r="G402" t="b">
        <v>0</v>
      </c>
      <c r="H402" s="10">
        <v>3</v>
      </c>
      <c r="I402" s="10">
        <v>4</v>
      </c>
      <c r="J402" t="s">
        <v>54</v>
      </c>
      <c r="K402" s="9">
        <v>33623</v>
      </c>
      <c r="L402" t="s">
        <v>143</v>
      </c>
      <c r="M402" t="s">
        <v>27</v>
      </c>
      <c r="N402" s="7">
        <v>56</v>
      </c>
      <c r="O402" s="10">
        <v>0</v>
      </c>
      <c r="P402" s="7">
        <v>1</v>
      </c>
      <c r="Q402" t="s">
        <v>51</v>
      </c>
      <c r="R402" s="9">
        <v>125425</v>
      </c>
      <c r="S402" s="10">
        <v>9.2200000000000006</v>
      </c>
      <c r="T402" s="9">
        <v>224633.16</v>
      </c>
      <c r="U402" s="6">
        <v>47</v>
      </c>
      <c r="V402" t="s">
        <v>42</v>
      </c>
    </row>
    <row r="403" spans="1:22" x14ac:dyDescent="0.25">
      <c r="A403" t="s">
        <v>558</v>
      </c>
      <c r="B403" s="1">
        <v>45373</v>
      </c>
      <c r="C403" s="7">
        <f>YEAR(Table2[[#This Row],[Date]])</f>
        <v>2024</v>
      </c>
      <c r="D403" t="s">
        <v>36</v>
      </c>
      <c r="E403" t="s">
        <v>23</v>
      </c>
      <c r="F403" t="s">
        <v>24</v>
      </c>
      <c r="G403" t="b">
        <v>1</v>
      </c>
      <c r="H403" s="10">
        <v>5</v>
      </c>
      <c r="I403" s="10">
        <v>0</v>
      </c>
      <c r="J403" t="s">
        <v>25</v>
      </c>
      <c r="K403" s="9">
        <v>11998</v>
      </c>
      <c r="L403" t="s">
        <v>334</v>
      </c>
      <c r="M403" t="s">
        <v>50</v>
      </c>
      <c r="N403" s="7">
        <v>85</v>
      </c>
      <c r="O403" s="10">
        <v>0</v>
      </c>
      <c r="P403" s="7">
        <v>2</v>
      </c>
      <c r="Q403" t="s">
        <v>41</v>
      </c>
      <c r="R403" s="9">
        <v>20722</v>
      </c>
      <c r="S403" s="10">
        <v>6.77</v>
      </c>
      <c r="T403" s="9">
        <v>36783.72</v>
      </c>
      <c r="U403" s="6">
        <v>27</v>
      </c>
      <c r="V403" t="s">
        <v>42</v>
      </c>
    </row>
    <row r="404" spans="1:22" x14ac:dyDescent="0.25">
      <c r="A404" t="s">
        <v>559</v>
      </c>
      <c r="B404" s="1">
        <v>45313</v>
      </c>
      <c r="C404" s="7">
        <f>YEAR(Table2[[#This Row],[Date]])</f>
        <v>2024</v>
      </c>
      <c r="D404" t="s">
        <v>53</v>
      </c>
      <c r="E404" t="s">
        <v>37</v>
      </c>
      <c r="F404" t="s">
        <v>44</v>
      </c>
      <c r="G404" t="b">
        <v>1</v>
      </c>
      <c r="H404" s="10">
        <v>4</v>
      </c>
      <c r="I404" s="10">
        <v>2</v>
      </c>
      <c r="J404" t="s">
        <v>25</v>
      </c>
      <c r="K404" s="9">
        <v>38505</v>
      </c>
      <c r="L404" t="s">
        <v>129</v>
      </c>
      <c r="M404" t="s">
        <v>34</v>
      </c>
      <c r="N404" s="7">
        <v>67</v>
      </c>
      <c r="O404" s="10">
        <v>0</v>
      </c>
      <c r="P404" s="7">
        <v>0</v>
      </c>
      <c r="Q404" t="s">
        <v>62</v>
      </c>
      <c r="R404" s="9">
        <v>26572</v>
      </c>
      <c r="S404" s="10">
        <v>9.34</v>
      </c>
      <c r="T404" s="9">
        <v>48806.400000000001</v>
      </c>
      <c r="U404" s="6">
        <v>60</v>
      </c>
      <c r="V404" t="s">
        <v>42</v>
      </c>
    </row>
    <row r="405" spans="1:22" x14ac:dyDescent="0.25">
      <c r="A405" t="s">
        <v>560</v>
      </c>
      <c r="B405" s="1">
        <v>45380</v>
      </c>
      <c r="C405" s="7">
        <f>YEAR(Table2[[#This Row],[Date]])</f>
        <v>2024</v>
      </c>
      <c r="D405" t="s">
        <v>36</v>
      </c>
      <c r="E405" t="s">
        <v>48</v>
      </c>
      <c r="F405" t="s">
        <v>38</v>
      </c>
      <c r="G405" t="b">
        <v>0</v>
      </c>
      <c r="H405" s="10">
        <v>1</v>
      </c>
      <c r="I405" s="10">
        <v>0</v>
      </c>
      <c r="J405" t="s">
        <v>25</v>
      </c>
      <c r="K405" s="9">
        <v>39437</v>
      </c>
      <c r="L405" t="s">
        <v>60</v>
      </c>
      <c r="M405" t="s">
        <v>34</v>
      </c>
      <c r="N405" s="7">
        <v>15</v>
      </c>
      <c r="O405" s="10">
        <v>0</v>
      </c>
      <c r="P405" s="7">
        <v>0</v>
      </c>
      <c r="Q405" t="s">
        <v>62</v>
      </c>
      <c r="R405" s="9">
        <v>72497</v>
      </c>
      <c r="S405" s="10">
        <v>8.23</v>
      </c>
      <c r="T405" s="9">
        <v>106559.51</v>
      </c>
      <c r="U405" s="6">
        <v>31</v>
      </c>
      <c r="V405" t="s">
        <v>42</v>
      </c>
    </row>
    <row r="406" spans="1:22" x14ac:dyDescent="0.25">
      <c r="A406" t="s">
        <v>561</v>
      </c>
      <c r="B406" s="1">
        <v>45823</v>
      </c>
      <c r="C406" s="7">
        <f>YEAR(Table2[[#This Row],[Date]])</f>
        <v>2025</v>
      </c>
      <c r="D406" t="s">
        <v>22</v>
      </c>
      <c r="E406" t="s">
        <v>32</v>
      </c>
      <c r="F406" t="s">
        <v>24</v>
      </c>
      <c r="G406" t="b">
        <v>1</v>
      </c>
      <c r="H406" s="10">
        <v>0</v>
      </c>
      <c r="I406" s="10">
        <v>4</v>
      </c>
      <c r="J406" t="s">
        <v>54</v>
      </c>
      <c r="K406" s="9">
        <v>52204</v>
      </c>
      <c r="L406" t="s">
        <v>190</v>
      </c>
      <c r="M406" t="s">
        <v>61</v>
      </c>
      <c r="N406" s="7">
        <v>23</v>
      </c>
      <c r="O406" s="10">
        <v>0</v>
      </c>
      <c r="P406" s="7">
        <v>1</v>
      </c>
      <c r="Q406" t="s">
        <v>62</v>
      </c>
      <c r="R406" s="9">
        <v>68435</v>
      </c>
      <c r="S406" s="10">
        <v>8.1300000000000008</v>
      </c>
      <c r="T406" s="9">
        <v>208141.48</v>
      </c>
      <c r="U406" s="6">
        <v>26</v>
      </c>
      <c r="V406" t="s">
        <v>29</v>
      </c>
    </row>
    <row r="407" spans="1:22" x14ac:dyDescent="0.25">
      <c r="A407" t="s">
        <v>562</v>
      </c>
      <c r="B407" s="1">
        <v>45293</v>
      </c>
      <c r="C407" s="7">
        <f>YEAR(Table2[[#This Row],[Date]])</f>
        <v>2024</v>
      </c>
      <c r="D407" t="s">
        <v>31</v>
      </c>
      <c r="E407" t="s">
        <v>37</v>
      </c>
      <c r="F407" t="s">
        <v>24</v>
      </c>
      <c r="G407" t="b">
        <v>1</v>
      </c>
      <c r="H407" s="10">
        <v>2</v>
      </c>
      <c r="I407" s="10">
        <v>0</v>
      </c>
      <c r="J407" t="s">
        <v>25</v>
      </c>
      <c r="K407" s="9">
        <v>34009</v>
      </c>
      <c r="L407" t="s">
        <v>192</v>
      </c>
      <c r="M407" t="s">
        <v>27</v>
      </c>
      <c r="N407" s="7">
        <v>75</v>
      </c>
      <c r="O407" s="10">
        <v>1</v>
      </c>
      <c r="P407" s="7">
        <v>1</v>
      </c>
      <c r="Q407" t="s">
        <v>41</v>
      </c>
      <c r="R407" s="9">
        <v>124042</v>
      </c>
      <c r="S407" s="10">
        <v>8.7799999999999994</v>
      </c>
      <c r="T407" s="9">
        <v>145105.07</v>
      </c>
      <c r="U407" s="6">
        <v>56</v>
      </c>
      <c r="V407" t="s">
        <v>42</v>
      </c>
    </row>
    <row r="408" spans="1:22" x14ac:dyDescent="0.25">
      <c r="A408" t="s">
        <v>563</v>
      </c>
      <c r="B408" s="1">
        <v>45805</v>
      </c>
      <c r="C408" s="7">
        <f>YEAR(Table2[[#This Row],[Date]])</f>
        <v>2025</v>
      </c>
      <c r="D408" t="s">
        <v>77</v>
      </c>
      <c r="E408" t="s">
        <v>98</v>
      </c>
      <c r="F408" t="s">
        <v>44</v>
      </c>
      <c r="G408" t="b">
        <v>0</v>
      </c>
      <c r="H408" s="10">
        <v>1</v>
      </c>
      <c r="I408" s="10">
        <v>2</v>
      </c>
      <c r="J408" t="s">
        <v>54</v>
      </c>
      <c r="K408" s="9">
        <v>14123</v>
      </c>
      <c r="L408" t="s">
        <v>366</v>
      </c>
      <c r="M408" t="s">
        <v>34</v>
      </c>
      <c r="N408" s="7">
        <v>70</v>
      </c>
      <c r="O408" s="10">
        <v>0</v>
      </c>
      <c r="P408" s="7">
        <v>0</v>
      </c>
      <c r="Q408" t="s">
        <v>62</v>
      </c>
      <c r="R408" s="9">
        <v>38281</v>
      </c>
      <c r="S408" s="10">
        <v>7.97</v>
      </c>
      <c r="T408" s="9">
        <v>22202.720000000001</v>
      </c>
      <c r="U408" s="6">
        <v>53</v>
      </c>
      <c r="V408" t="s">
        <v>42</v>
      </c>
    </row>
    <row r="409" spans="1:22" x14ac:dyDescent="0.25">
      <c r="A409" t="s">
        <v>564</v>
      </c>
      <c r="B409" s="1">
        <v>45682</v>
      </c>
      <c r="C409" s="7">
        <f>YEAR(Table2[[#This Row],[Date]])</f>
        <v>2025</v>
      </c>
      <c r="D409" t="s">
        <v>77</v>
      </c>
      <c r="E409" t="s">
        <v>98</v>
      </c>
      <c r="F409" t="s">
        <v>44</v>
      </c>
      <c r="G409" t="b">
        <v>0</v>
      </c>
      <c r="H409" s="10">
        <v>0</v>
      </c>
      <c r="I409" s="10">
        <v>4</v>
      </c>
      <c r="J409" t="s">
        <v>54</v>
      </c>
      <c r="K409" s="9">
        <v>31405</v>
      </c>
      <c r="L409" t="s">
        <v>78</v>
      </c>
      <c r="M409" t="s">
        <v>50</v>
      </c>
      <c r="N409" s="7">
        <v>54</v>
      </c>
      <c r="O409" s="10">
        <v>0</v>
      </c>
      <c r="P409" s="7">
        <v>2</v>
      </c>
      <c r="Q409" t="s">
        <v>46</v>
      </c>
      <c r="R409" s="9">
        <v>125684</v>
      </c>
      <c r="S409" s="10">
        <v>4.1100000000000003</v>
      </c>
      <c r="T409" s="9">
        <v>232026.06</v>
      </c>
      <c r="U409" s="6">
        <v>45</v>
      </c>
      <c r="V409" t="s">
        <v>152</v>
      </c>
    </row>
    <row r="410" spans="1:22" x14ac:dyDescent="0.25">
      <c r="A410" t="s">
        <v>565</v>
      </c>
      <c r="B410" s="1">
        <v>45628</v>
      </c>
      <c r="C410" s="7">
        <f>YEAR(Table2[[#This Row],[Date]])</f>
        <v>2024</v>
      </c>
      <c r="D410" t="s">
        <v>97</v>
      </c>
      <c r="E410" t="s">
        <v>37</v>
      </c>
      <c r="F410" t="s">
        <v>38</v>
      </c>
      <c r="G410" t="b">
        <v>1</v>
      </c>
      <c r="H410" s="10">
        <v>1</v>
      </c>
      <c r="I410" s="10">
        <v>0</v>
      </c>
      <c r="J410" t="s">
        <v>25</v>
      </c>
      <c r="K410" s="9">
        <v>18392</v>
      </c>
      <c r="L410" t="s">
        <v>195</v>
      </c>
      <c r="M410" t="s">
        <v>50</v>
      </c>
      <c r="N410" s="7">
        <v>39</v>
      </c>
      <c r="O410" s="10">
        <v>1</v>
      </c>
      <c r="P410" s="7">
        <v>0</v>
      </c>
      <c r="Q410" t="s">
        <v>28</v>
      </c>
      <c r="R410" s="9">
        <v>59498</v>
      </c>
      <c r="S410" s="10">
        <v>4.41</v>
      </c>
      <c r="T410" s="9">
        <v>201275.96</v>
      </c>
      <c r="U410" s="6">
        <v>26</v>
      </c>
      <c r="V410" t="s">
        <v>42</v>
      </c>
    </row>
    <row r="411" spans="1:22" x14ac:dyDescent="0.25">
      <c r="A411" t="s">
        <v>566</v>
      </c>
      <c r="B411" s="1">
        <v>45613</v>
      </c>
      <c r="C411" s="7">
        <f>YEAR(Table2[[#This Row],[Date]])</f>
        <v>2024</v>
      </c>
      <c r="D411" t="s">
        <v>53</v>
      </c>
      <c r="E411" t="s">
        <v>48</v>
      </c>
      <c r="F411" t="s">
        <v>24</v>
      </c>
      <c r="G411" t="b">
        <v>0</v>
      </c>
      <c r="H411" s="10">
        <v>2</v>
      </c>
      <c r="I411" s="10">
        <v>4</v>
      </c>
      <c r="J411" t="s">
        <v>54</v>
      </c>
      <c r="K411" s="9">
        <v>27341</v>
      </c>
      <c r="L411" t="s">
        <v>285</v>
      </c>
      <c r="M411" t="s">
        <v>50</v>
      </c>
      <c r="N411" s="7">
        <v>33</v>
      </c>
      <c r="O411" s="10">
        <v>1</v>
      </c>
      <c r="P411" s="7">
        <v>1</v>
      </c>
      <c r="Q411" t="s">
        <v>62</v>
      </c>
      <c r="R411" s="9">
        <v>147697</v>
      </c>
      <c r="S411" s="10">
        <v>6.93</v>
      </c>
      <c r="T411" s="9">
        <v>17488.93</v>
      </c>
      <c r="U411" s="6">
        <v>50</v>
      </c>
      <c r="V411" t="s">
        <v>29</v>
      </c>
    </row>
    <row r="412" spans="1:22" x14ac:dyDescent="0.25">
      <c r="A412" t="s">
        <v>567</v>
      </c>
      <c r="B412" s="1">
        <v>45345</v>
      </c>
      <c r="C412" s="7">
        <f>YEAR(Table2[[#This Row],[Date]])</f>
        <v>2024</v>
      </c>
      <c r="D412" t="s">
        <v>77</v>
      </c>
      <c r="E412" t="s">
        <v>32</v>
      </c>
      <c r="F412" t="s">
        <v>24</v>
      </c>
      <c r="G412" t="b">
        <v>1</v>
      </c>
      <c r="H412" s="10">
        <v>5</v>
      </c>
      <c r="I412" s="10">
        <v>3</v>
      </c>
      <c r="J412" t="s">
        <v>25</v>
      </c>
      <c r="K412" s="9">
        <v>40952</v>
      </c>
      <c r="L412" t="s">
        <v>99</v>
      </c>
      <c r="M412" t="s">
        <v>27</v>
      </c>
      <c r="N412" s="7">
        <v>52</v>
      </c>
      <c r="O412" s="10">
        <v>0</v>
      </c>
      <c r="P412" s="7">
        <v>1</v>
      </c>
      <c r="Q412" t="s">
        <v>46</v>
      </c>
      <c r="R412" s="9">
        <v>69137</v>
      </c>
      <c r="S412" s="10">
        <v>6.96</v>
      </c>
      <c r="T412" s="9">
        <v>218757.74</v>
      </c>
      <c r="U412" s="6">
        <v>44</v>
      </c>
      <c r="V412" t="s">
        <v>42</v>
      </c>
    </row>
    <row r="413" spans="1:22" x14ac:dyDescent="0.25">
      <c r="A413" t="s">
        <v>568</v>
      </c>
      <c r="B413" s="1">
        <v>45649</v>
      </c>
      <c r="C413" s="7">
        <f>YEAR(Table2[[#This Row],[Date]])</f>
        <v>2024</v>
      </c>
      <c r="D413" t="s">
        <v>36</v>
      </c>
      <c r="E413" t="s">
        <v>72</v>
      </c>
      <c r="F413" t="s">
        <v>44</v>
      </c>
      <c r="G413" t="b">
        <v>1</v>
      </c>
      <c r="H413" s="10">
        <v>5</v>
      </c>
      <c r="I413" s="10">
        <v>1</v>
      </c>
      <c r="J413" t="s">
        <v>25</v>
      </c>
      <c r="K413" s="9">
        <v>52077</v>
      </c>
      <c r="L413" t="s">
        <v>129</v>
      </c>
      <c r="M413" t="s">
        <v>50</v>
      </c>
      <c r="N413" s="7">
        <v>21</v>
      </c>
      <c r="O413" s="10">
        <v>0</v>
      </c>
      <c r="P413" s="7">
        <v>2</v>
      </c>
      <c r="Q413" t="s">
        <v>46</v>
      </c>
      <c r="R413" s="9">
        <v>133648</v>
      </c>
      <c r="S413" s="10">
        <v>8.08</v>
      </c>
      <c r="T413" s="9">
        <v>105865.47</v>
      </c>
      <c r="U413" s="6">
        <v>26</v>
      </c>
      <c r="V413" t="s">
        <v>29</v>
      </c>
    </row>
    <row r="414" spans="1:22" x14ac:dyDescent="0.25">
      <c r="A414" t="s">
        <v>569</v>
      </c>
      <c r="B414" s="1">
        <v>45529</v>
      </c>
      <c r="C414" s="7">
        <f>YEAR(Table2[[#This Row],[Date]])</f>
        <v>2024</v>
      </c>
      <c r="D414" t="s">
        <v>22</v>
      </c>
      <c r="E414" t="s">
        <v>72</v>
      </c>
      <c r="F414" t="s">
        <v>38</v>
      </c>
      <c r="G414" t="b">
        <v>1</v>
      </c>
      <c r="H414" s="10">
        <v>4</v>
      </c>
      <c r="I414" s="10">
        <v>3</v>
      </c>
      <c r="J414" t="s">
        <v>25</v>
      </c>
      <c r="K414" s="9">
        <v>5339</v>
      </c>
      <c r="L414" t="s">
        <v>195</v>
      </c>
      <c r="M414" t="s">
        <v>27</v>
      </c>
      <c r="N414" s="7">
        <v>87</v>
      </c>
      <c r="O414" s="10">
        <v>0</v>
      </c>
      <c r="P414" s="7">
        <v>2</v>
      </c>
      <c r="Q414" t="s">
        <v>81</v>
      </c>
      <c r="R414" s="9">
        <v>101298</v>
      </c>
      <c r="S414" s="10">
        <v>2.63</v>
      </c>
      <c r="T414" s="9">
        <v>98840.8</v>
      </c>
      <c r="U414" s="6">
        <v>60</v>
      </c>
      <c r="V414" t="s">
        <v>42</v>
      </c>
    </row>
    <row r="415" spans="1:22" x14ac:dyDescent="0.25">
      <c r="A415" t="s">
        <v>570</v>
      </c>
      <c r="B415" s="1">
        <v>45465</v>
      </c>
      <c r="C415" s="7">
        <f>YEAR(Table2[[#This Row],[Date]])</f>
        <v>2024</v>
      </c>
      <c r="D415" t="s">
        <v>53</v>
      </c>
      <c r="E415" t="s">
        <v>48</v>
      </c>
      <c r="F415" t="s">
        <v>24</v>
      </c>
      <c r="G415" t="b">
        <v>1</v>
      </c>
      <c r="H415" s="10">
        <v>5</v>
      </c>
      <c r="I415" s="10">
        <v>3</v>
      </c>
      <c r="J415" t="s">
        <v>25</v>
      </c>
      <c r="K415" s="9">
        <v>9667</v>
      </c>
      <c r="L415" t="s">
        <v>424</v>
      </c>
      <c r="M415" t="s">
        <v>27</v>
      </c>
      <c r="N415" s="7">
        <v>66</v>
      </c>
      <c r="O415" s="10">
        <v>2</v>
      </c>
      <c r="P415" s="7">
        <v>0</v>
      </c>
      <c r="Q415" t="s">
        <v>46</v>
      </c>
      <c r="R415" s="9">
        <v>14894</v>
      </c>
      <c r="S415" s="10">
        <v>5.83</v>
      </c>
      <c r="T415" s="9">
        <v>67701.759999999995</v>
      </c>
      <c r="U415" s="6">
        <v>40</v>
      </c>
      <c r="V415" t="s">
        <v>42</v>
      </c>
    </row>
    <row r="416" spans="1:22" x14ac:dyDescent="0.25">
      <c r="A416" t="s">
        <v>571</v>
      </c>
      <c r="B416" s="1">
        <v>45411</v>
      </c>
      <c r="C416" s="7">
        <f>YEAR(Table2[[#This Row],[Date]])</f>
        <v>2024</v>
      </c>
      <c r="D416" t="s">
        <v>77</v>
      </c>
      <c r="E416" t="s">
        <v>83</v>
      </c>
      <c r="F416" t="s">
        <v>44</v>
      </c>
      <c r="G416" t="b">
        <v>1</v>
      </c>
      <c r="H416" s="10">
        <v>2</v>
      </c>
      <c r="I416" s="10">
        <v>4</v>
      </c>
      <c r="J416" t="s">
        <v>54</v>
      </c>
      <c r="K416" s="9">
        <v>20559</v>
      </c>
      <c r="L416" t="s">
        <v>90</v>
      </c>
      <c r="M416" t="s">
        <v>34</v>
      </c>
      <c r="N416" s="7">
        <v>17</v>
      </c>
      <c r="O416" s="10">
        <v>1</v>
      </c>
      <c r="P416" s="7">
        <v>0</v>
      </c>
      <c r="Q416" t="s">
        <v>46</v>
      </c>
      <c r="R416" s="9">
        <v>12706</v>
      </c>
      <c r="S416" s="10">
        <v>5.25</v>
      </c>
      <c r="T416" s="9">
        <v>94980.55</v>
      </c>
      <c r="U416" s="6">
        <v>33</v>
      </c>
      <c r="V416" t="s">
        <v>42</v>
      </c>
    </row>
    <row r="417" spans="1:22" x14ac:dyDescent="0.25">
      <c r="A417" t="s">
        <v>572</v>
      </c>
      <c r="B417" s="1">
        <v>45604</v>
      </c>
      <c r="C417" s="7">
        <f>YEAR(Table2[[#This Row],[Date]])</f>
        <v>2024</v>
      </c>
      <c r="D417" t="s">
        <v>31</v>
      </c>
      <c r="E417" t="s">
        <v>23</v>
      </c>
      <c r="F417" t="s">
        <v>38</v>
      </c>
      <c r="G417" t="b">
        <v>0</v>
      </c>
      <c r="H417" s="10">
        <v>2</v>
      </c>
      <c r="I417" s="10">
        <v>4</v>
      </c>
      <c r="J417" t="s">
        <v>54</v>
      </c>
      <c r="K417" s="9">
        <v>52862</v>
      </c>
      <c r="L417" t="s">
        <v>129</v>
      </c>
      <c r="M417" t="s">
        <v>27</v>
      </c>
      <c r="N417" s="7">
        <v>36</v>
      </c>
      <c r="O417" s="10">
        <v>1</v>
      </c>
      <c r="P417" s="7">
        <v>1</v>
      </c>
      <c r="Q417" t="s">
        <v>51</v>
      </c>
      <c r="R417" s="9">
        <v>11019</v>
      </c>
      <c r="S417" s="10">
        <v>3.73</v>
      </c>
      <c r="T417" s="9">
        <v>99549</v>
      </c>
      <c r="U417" s="6">
        <v>38</v>
      </c>
      <c r="V417" t="s">
        <v>29</v>
      </c>
    </row>
    <row r="418" spans="1:22" x14ac:dyDescent="0.25">
      <c r="A418" t="s">
        <v>573</v>
      </c>
      <c r="B418" s="1">
        <v>45626</v>
      </c>
      <c r="C418" s="7">
        <f>YEAR(Table2[[#This Row],[Date]])</f>
        <v>2024</v>
      </c>
      <c r="D418" t="s">
        <v>97</v>
      </c>
      <c r="E418" t="s">
        <v>32</v>
      </c>
      <c r="F418" t="s">
        <v>38</v>
      </c>
      <c r="G418" t="b">
        <v>0</v>
      </c>
      <c r="H418" s="10">
        <v>2</v>
      </c>
      <c r="I418" s="10">
        <v>2</v>
      </c>
      <c r="J418" t="s">
        <v>39</v>
      </c>
      <c r="K418" s="9">
        <v>49647</v>
      </c>
      <c r="L418" t="s">
        <v>80</v>
      </c>
      <c r="M418" t="s">
        <v>34</v>
      </c>
      <c r="N418" s="7">
        <v>95</v>
      </c>
      <c r="O418" s="10">
        <v>0</v>
      </c>
      <c r="P418" s="7">
        <v>2</v>
      </c>
      <c r="Q418" t="s">
        <v>87</v>
      </c>
      <c r="R418" s="9">
        <v>3555</v>
      </c>
      <c r="S418" s="10">
        <v>8.3800000000000008</v>
      </c>
      <c r="T418" s="9">
        <v>13819.93</v>
      </c>
      <c r="U418" s="6">
        <v>64</v>
      </c>
      <c r="V418" t="s">
        <v>29</v>
      </c>
    </row>
    <row r="419" spans="1:22" x14ac:dyDescent="0.25">
      <c r="A419" t="s">
        <v>574</v>
      </c>
      <c r="B419" s="1">
        <v>45302</v>
      </c>
      <c r="C419" s="7">
        <f>YEAR(Table2[[#This Row],[Date]])</f>
        <v>2024</v>
      </c>
      <c r="D419" t="s">
        <v>22</v>
      </c>
      <c r="E419" t="s">
        <v>98</v>
      </c>
      <c r="F419" t="s">
        <v>44</v>
      </c>
      <c r="G419" t="b">
        <v>1</v>
      </c>
      <c r="H419" s="10">
        <v>4</v>
      </c>
      <c r="I419" s="10">
        <v>2</v>
      </c>
      <c r="J419" t="s">
        <v>25</v>
      </c>
      <c r="K419" s="9">
        <v>41412</v>
      </c>
      <c r="L419" t="s">
        <v>198</v>
      </c>
      <c r="M419" t="s">
        <v>27</v>
      </c>
      <c r="N419" s="7">
        <v>84</v>
      </c>
      <c r="O419" s="10">
        <v>0</v>
      </c>
      <c r="P419" s="7">
        <v>1</v>
      </c>
      <c r="Q419" t="s">
        <v>51</v>
      </c>
      <c r="R419" s="9">
        <v>75979</v>
      </c>
      <c r="S419" s="10">
        <v>7.77</v>
      </c>
      <c r="T419" s="9">
        <v>13346.69</v>
      </c>
      <c r="U419" s="6">
        <v>27</v>
      </c>
      <c r="V419" t="s">
        <v>29</v>
      </c>
    </row>
    <row r="420" spans="1:22" x14ac:dyDescent="0.25">
      <c r="A420" t="s">
        <v>575</v>
      </c>
      <c r="B420" s="1">
        <v>45390</v>
      </c>
      <c r="C420" s="7">
        <f>YEAR(Table2[[#This Row],[Date]])</f>
        <v>2024</v>
      </c>
      <c r="D420" t="s">
        <v>31</v>
      </c>
      <c r="E420" t="s">
        <v>98</v>
      </c>
      <c r="F420" t="s">
        <v>38</v>
      </c>
      <c r="G420" t="b">
        <v>0</v>
      </c>
      <c r="H420" s="10">
        <v>5</v>
      </c>
      <c r="I420" s="10">
        <v>4</v>
      </c>
      <c r="J420" t="s">
        <v>25</v>
      </c>
      <c r="K420" s="9">
        <v>52777</v>
      </c>
      <c r="L420" t="s">
        <v>99</v>
      </c>
      <c r="M420" t="s">
        <v>61</v>
      </c>
      <c r="N420" s="7">
        <v>88</v>
      </c>
      <c r="O420" s="10">
        <v>0</v>
      </c>
      <c r="P420" s="7">
        <v>1</v>
      </c>
      <c r="Q420" t="s">
        <v>62</v>
      </c>
      <c r="R420" s="9">
        <v>84152</v>
      </c>
      <c r="S420" s="10">
        <v>3.15</v>
      </c>
      <c r="T420" s="9">
        <v>180425.64</v>
      </c>
      <c r="U420" s="6">
        <v>35</v>
      </c>
      <c r="V420" t="s">
        <v>42</v>
      </c>
    </row>
    <row r="421" spans="1:22" x14ac:dyDescent="0.25">
      <c r="A421" t="s">
        <v>576</v>
      </c>
      <c r="B421" s="1">
        <v>45666</v>
      </c>
      <c r="C421" s="7">
        <f>YEAR(Table2[[#This Row],[Date]])</f>
        <v>2025</v>
      </c>
      <c r="D421" t="s">
        <v>31</v>
      </c>
      <c r="E421" t="s">
        <v>48</v>
      </c>
      <c r="F421" t="s">
        <v>38</v>
      </c>
      <c r="G421" t="b">
        <v>1</v>
      </c>
      <c r="H421" s="10">
        <v>3</v>
      </c>
      <c r="I421" s="10">
        <v>3</v>
      </c>
      <c r="J421" t="s">
        <v>39</v>
      </c>
      <c r="K421" s="9">
        <v>12885</v>
      </c>
      <c r="L421" t="s">
        <v>107</v>
      </c>
      <c r="M421" t="s">
        <v>34</v>
      </c>
      <c r="N421" s="7">
        <v>30</v>
      </c>
      <c r="O421" s="10">
        <v>2</v>
      </c>
      <c r="P421" s="7">
        <v>0</v>
      </c>
      <c r="Q421" t="s">
        <v>28</v>
      </c>
      <c r="R421" s="9">
        <v>93296</v>
      </c>
      <c r="S421" s="10">
        <v>9.14</v>
      </c>
      <c r="T421" s="9">
        <v>190305.4</v>
      </c>
      <c r="U421" s="6">
        <v>56</v>
      </c>
      <c r="V421" t="s">
        <v>29</v>
      </c>
    </row>
    <row r="422" spans="1:22" x14ac:dyDescent="0.25">
      <c r="A422" t="s">
        <v>577</v>
      </c>
      <c r="B422" s="1">
        <v>45507</v>
      </c>
      <c r="C422" s="7">
        <f>YEAR(Table2[[#This Row],[Date]])</f>
        <v>2024</v>
      </c>
      <c r="D422" t="s">
        <v>77</v>
      </c>
      <c r="E422" t="s">
        <v>72</v>
      </c>
      <c r="F422" t="s">
        <v>44</v>
      </c>
      <c r="G422" t="b">
        <v>0</v>
      </c>
      <c r="H422" s="10">
        <v>1</v>
      </c>
      <c r="I422" s="10">
        <v>0</v>
      </c>
      <c r="J422" t="s">
        <v>25</v>
      </c>
      <c r="K422" s="9">
        <v>24663</v>
      </c>
      <c r="L422" t="s">
        <v>366</v>
      </c>
      <c r="M422" t="s">
        <v>27</v>
      </c>
      <c r="N422" s="7">
        <v>86</v>
      </c>
      <c r="O422" s="10">
        <v>0</v>
      </c>
      <c r="P422" s="7">
        <v>0</v>
      </c>
      <c r="Q422" t="s">
        <v>51</v>
      </c>
      <c r="R422" s="9">
        <v>111225</v>
      </c>
      <c r="S422" s="10">
        <v>6.47</v>
      </c>
      <c r="T422" s="9">
        <v>37914.800000000003</v>
      </c>
      <c r="U422" s="6">
        <v>40</v>
      </c>
      <c r="V422" t="s">
        <v>29</v>
      </c>
    </row>
    <row r="423" spans="1:22" x14ac:dyDescent="0.25">
      <c r="A423" t="s">
        <v>578</v>
      </c>
      <c r="B423" s="1">
        <v>45670</v>
      </c>
      <c r="C423" s="7">
        <f>YEAR(Table2[[#This Row],[Date]])</f>
        <v>2025</v>
      </c>
      <c r="D423" t="s">
        <v>69</v>
      </c>
      <c r="E423" t="s">
        <v>23</v>
      </c>
      <c r="F423" t="s">
        <v>38</v>
      </c>
      <c r="G423" t="b">
        <v>1</v>
      </c>
      <c r="H423" s="10">
        <v>0</v>
      </c>
      <c r="I423" s="10">
        <v>2</v>
      </c>
      <c r="J423" t="s">
        <v>54</v>
      </c>
      <c r="K423" s="9">
        <v>12867</v>
      </c>
      <c r="L423" t="s">
        <v>362</v>
      </c>
      <c r="M423" t="s">
        <v>27</v>
      </c>
      <c r="N423" s="7">
        <v>58</v>
      </c>
      <c r="O423" s="10">
        <v>0</v>
      </c>
      <c r="P423" s="7">
        <v>1</v>
      </c>
      <c r="Q423" t="s">
        <v>41</v>
      </c>
      <c r="R423" s="9">
        <v>18913</v>
      </c>
      <c r="S423" s="10">
        <v>3.11</v>
      </c>
      <c r="T423" s="9">
        <v>124979.78</v>
      </c>
      <c r="U423" s="6">
        <v>30</v>
      </c>
      <c r="V423" t="s">
        <v>42</v>
      </c>
    </row>
    <row r="424" spans="1:22" x14ac:dyDescent="0.25">
      <c r="A424" t="s">
        <v>579</v>
      </c>
      <c r="B424" s="1">
        <v>45841</v>
      </c>
      <c r="C424" s="7">
        <f>YEAR(Table2[[#This Row],[Date]])</f>
        <v>2025</v>
      </c>
      <c r="D424" t="s">
        <v>22</v>
      </c>
      <c r="E424" t="s">
        <v>72</v>
      </c>
      <c r="F424" t="s">
        <v>24</v>
      </c>
      <c r="G424" t="b">
        <v>0</v>
      </c>
      <c r="H424" s="10">
        <v>1</v>
      </c>
      <c r="I424" s="10">
        <v>3</v>
      </c>
      <c r="J424" t="s">
        <v>54</v>
      </c>
      <c r="K424" s="9">
        <v>15913</v>
      </c>
      <c r="L424" t="s">
        <v>163</v>
      </c>
      <c r="M424" t="s">
        <v>50</v>
      </c>
      <c r="N424" s="7">
        <v>73</v>
      </c>
      <c r="O424" s="10">
        <v>2</v>
      </c>
      <c r="P424" s="7">
        <v>1</v>
      </c>
      <c r="Q424" t="s">
        <v>41</v>
      </c>
      <c r="R424" s="9">
        <v>141954</v>
      </c>
      <c r="S424" s="10">
        <v>7.94</v>
      </c>
      <c r="T424" s="9">
        <v>5533.29</v>
      </c>
      <c r="U424" s="6">
        <v>19</v>
      </c>
      <c r="V424" t="s">
        <v>29</v>
      </c>
    </row>
    <row r="425" spans="1:22" x14ac:dyDescent="0.25">
      <c r="A425" t="s">
        <v>580</v>
      </c>
      <c r="B425" s="1">
        <v>45336</v>
      </c>
      <c r="C425" s="7">
        <f>YEAR(Table2[[#This Row],[Date]])</f>
        <v>2024</v>
      </c>
      <c r="D425" t="s">
        <v>69</v>
      </c>
      <c r="E425" t="s">
        <v>72</v>
      </c>
      <c r="F425" t="s">
        <v>24</v>
      </c>
      <c r="G425" t="b">
        <v>1</v>
      </c>
      <c r="H425" s="10">
        <v>2</v>
      </c>
      <c r="I425" s="10">
        <v>2</v>
      </c>
      <c r="J425" t="s">
        <v>39</v>
      </c>
      <c r="K425" s="9">
        <v>40923</v>
      </c>
      <c r="L425" t="s">
        <v>139</v>
      </c>
      <c r="M425" t="s">
        <v>50</v>
      </c>
      <c r="N425" s="7">
        <v>18</v>
      </c>
      <c r="O425" s="10">
        <v>0</v>
      </c>
      <c r="P425" s="7">
        <v>2</v>
      </c>
      <c r="Q425" t="s">
        <v>62</v>
      </c>
      <c r="R425" s="9">
        <v>4458</v>
      </c>
      <c r="S425" s="10">
        <v>2.76</v>
      </c>
      <c r="T425" s="9">
        <v>238393.97</v>
      </c>
      <c r="U425" s="6">
        <v>64</v>
      </c>
      <c r="V425" t="s">
        <v>29</v>
      </c>
    </row>
    <row r="426" spans="1:22" x14ac:dyDescent="0.25">
      <c r="A426" t="s">
        <v>581</v>
      </c>
      <c r="B426" s="1">
        <v>45623</v>
      </c>
      <c r="C426" s="7">
        <f>YEAR(Table2[[#This Row],[Date]])</f>
        <v>2024</v>
      </c>
      <c r="D426" t="s">
        <v>31</v>
      </c>
      <c r="E426" t="s">
        <v>48</v>
      </c>
      <c r="F426" t="s">
        <v>24</v>
      </c>
      <c r="G426" t="b">
        <v>1</v>
      </c>
      <c r="H426" s="10">
        <v>2</v>
      </c>
      <c r="I426" s="10">
        <v>3</v>
      </c>
      <c r="J426" t="s">
        <v>54</v>
      </c>
      <c r="K426" s="9">
        <v>34955</v>
      </c>
      <c r="L426" t="s">
        <v>121</v>
      </c>
      <c r="M426" t="s">
        <v>61</v>
      </c>
      <c r="N426" s="7">
        <v>84</v>
      </c>
      <c r="O426" s="10">
        <v>0</v>
      </c>
      <c r="P426" s="7">
        <v>0</v>
      </c>
      <c r="Q426" t="s">
        <v>81</v>
      </c>
      <c r="R426" s="9">
        <v>76665</v>
      </c>
      <c r="S426" s="10">
        <v>6.29</v>
      </c>
      <c r="T426" s="9">
        <v>69594.06</v>
      </c>
      <c r="U426" s="6">
        <v>47</v>
      </c>
      <c r="V426" t="s">
        <v>29</v>
      </c>
    </row>
    <row r="427" spans="1:22" x14ac:dyDescent="0.25">
      <c r="A427" t="s">
        <v>582</v>
      </c>
      <c r="B427" s="1">
        <v>45512</v>
      </c>
      <c r="C427" s="7">
        <f>YEAR(Table2[[#This Row],[Date]])</f>
        <v>2024</v>
      </c>
      <c r="D427" t="s">
        <v>31</v>
      </c>
      <c r="E427" t="s">
        <v>66</v>
      </c>
      <c r="F427" t="s">
        <v>44</v>
      </c>
      <c r="G427" t="b">
        <v>1</v>
      </c>
      <c r="H427" s="10">
        <v>2</v>
      </c>
      <c r="I427" s="10">
        <v>1</v>
      </c>
      <c r="J427" t="s">
        <v>25</v>
      </c>
      <c r="K427" s="9">
        <v>13334</v>
      </c>
      <c r="L427" t="s">
        <v>362</v>
      </c>
      <c r="M427" t="s">
        <v>61</v>
      </c>
      <c r="N427" s="7">
        <v>17</v>
      </c>
      <c r="O427" s="10">
        <v>0</v>
      </c>
      <c r="P427" s="7">
        <v>0</v>
      </c>
      <c r="Q427" t="s">
        <v>46</v>
      </c>
      <c r="R427" s="9">
        <v>67906</v>
      </c>
      <c r="S427" s="10">
        <v>3.77</v>
      </c>
      <c r="T427" s="9">
        <v>150238.78</v>
      </c>
      <c r="U427" s="6">
        <v>58</v>
      </c>
      <c r="V427" t="s">
        <v>29</v>
      </c>
    </row>
    <row r="428" spans="1:22" x14ac:dyDescent="0.25">
      <c r="A428" t="s">
        <v>583</v>
      </c>
      <c r="B428" s="1">
        <v>45942</v>
      </c>
      <c r="C428" s="7">
        <f>YEAR(Table2[[#This Row],[Date]])</f>
        <v>2025</v>
      </c>
      <c r="D428" t="s">
        <v>69</v>
      </c>
      <c r="E428" t="s">
        <v>37</v>
      </c>
      <c r="F428" t="s">
        <v>44</v>
      </c>
      <c r="G428" t="b">
        <v>1</v>
      </c>
      <c r="H428" s="10">
        <v>4</v>
      </c>
      <c r="I428" s="10">
        <v>4</v>
      </c>
      <c r="J428" t="s">
        <v>39</v>
      </c>
      <c r="K428" s="9">
        <v>14664</v>
      </c>
      <c r="L428" t="s">
        <v>291</v>
      </c>
      <c r="M428" t="s">
        <v>50</v>
      </c>
      <c r="N428" s="7">
        <v>39</v>
      </c>
      <c r="O428" s="10">
        <v>0</v>
      </c>
      <c r="P428" s="7">
        <v>1</v>
      </c>
      <c r="Q428" t="s">
        <v>81</v>
      </c>
      <c r="R428" s="9">
        <v>24987</v>
      </c>
      <c r="S428" s="10">
        <v>6</v>
      </c>
      <c r="T428" s="9">
        <v>128646.86</v>
      </c>
      <c r="U428" s="6">
        <v>40</v>
      </c>
      <c r="V428" t="s">
        <v>42</v>
      </c>
    </row>
    <row r="429" spans="1:22" x14ac:dyDescent="0.25">
      <c r="A429" t="s">
        <v>584</v>
      </c>
      <c r="B429" s="1">
        <v>45879</v>
      </c>
      <c r="C429" s="7">
        <f>YEAR(Table2[[#This Row],[Date]])</f>
        <v>2025</v>
      </c>
      <c r="D429" t="s">
        <v>69</v>
      </c>
      <c r="E429" t="s">
        <v>72</v>
      </c>
      <c r="F429" t="s">
        <v>44</v>
      </c>
      <c r="G429" t="b">
        <v>1</v>
      </c>
      <c r="H429" s="10">
        <v>0</v>
      </c>
      <c r="I429" s="10">
        <v>0</v>
      </c>
      <c r="J429" t="s">
        <v>39</v>
      </c>
      <c r="K429" s="9">
        <v>9098</v>
      </c>
      <c r="L429" t="s">
        <v>155</v>
      </c>
      <c r="M429" t="s">
        <v>61</v>
      </c>
      <c r="N429" s="7">
        <v>34</v>
      </c>
      <c r="O429" s="10">
        <v>1</v>
      </c>
      <c r="P429" s="7">
        <v>2</v>
      </c>
      <c r="Q429" t="s">
        <v>81</v>
      </c>
      <c r="R429" s="9">
        <v>27868</v>
      </c>
      <c r="S429" s="10">
        <v>7.27</v>
      </c>
      <c r="T429" s="9">
        <v>230776.51</v>
      </c>
      <c r="U429" s="6">
        <v>23</v>
      </c>
      <c r="V429" t="s">
        <v>42</v>
      </c>
    </row>
    <row r="430" spans="1:22" x14ac:dyDescent="0.25">
      <c r="A430" t="s">
        <v>585</v>
      </c>
      <c r="B430" s="1">
        <v>45688</v>
      </c>
      <c r="C430" s="7">
        <f>YEAR(Table2[[#This Row],[Date]])</f>
        <v>2025</v>
      </c>
      <c r="D430" t="s">
        <v>36</v>
      </c>
      <c r="E430" t="s">
        <v>32</v>
      </c>
      <c r="F430" t="s">
        <v>44</v>
      </c>
      <c r="G430" t="b">
        <v>1</v>
      </c>
      <c r="H430" s="10">
        <v>3</v>
      </c>
      <c r="I430" s="10">
        <v>2</v>
      </c>
      <c r="J430" t="s">
        <v>25</v>
      </c>
      <c r="K430" s="9">
        <v>15113</v>
      </c>
      <c r="L430" t="s">
        <v>402</v>
      </c>
      <c r="M430" t="s">
        <v>50</v>
      </c>
      <c r="N430" s="7">
        <v>40</v>
      </c>
      <c r="O430" s="10">
        <v>0</v>
      </c>
      <c r="P430" s="7">
        <v>1</v>
      </c>
      <c r="Q430" t="s">
        <v>62</v>
      </c>
      <c r="R430" s="9">
        <v>86377</v>
      </c>
      <c r="S430" s="10">
        <v>4.8099999999999996</v>
      </c>
      <c r="T430" s="9">
        <v>123398.74</v>
      </c>
      <c r="U430" s="6">
        <v>42</v>
      </c>
      <c r="V430" t="s">
        <v>29</v>
      </c>
    </row>
    <row r="431" spans="1:22" x14ac:dyDescent="0.25">
      <c r="A431" t="s">
        <v>586</v>
      </c>
      <c r="B431" s="1">
        <v>45757</v>
      </c>
      <c r="C431" s="7">
        <f>YEAR(Table2[[#This Row],[Date]])</f>
        <v>2025</v>
      </c>
      <c r="D431" t="s">
        <v>97</v>
      </c>
      <c r="E431" t="s">
        <v>66</v>
      </c>
      <c r="F431" t="s">
        <v>44</v>
      </c>
      <c r="G431" t="b">
        <v>1</v>
      </c>
      <c r="H431" s="10">
        <v>5</v>
      </c>
      <c r="I431" s="10">
        <v>2</v>
      </c>
      <c r="J431" t="s">
        <v>25</v>
      </c>
      <c r="K431" s="9">
        <v>10016</v>
      </c>
      <c r="L431" t="s">
        <v>143</v>
      </c>
      <c r="M431" t="s">
        <v>61</v>
      </c>
      <c r="N431" s="7">
        <v>27</v>
      </c>
      <c r="O431" s="10">
        <v>0</v>
      </c>
      <c r="P431" s="7">
        <v>2</v>
      </c>
      <c r="Q431" t="s">
        <v>46</v>
      </c>
      <c r="R431" s="9">
        <v>87258</v>
      </c>
      <c r="S431" s="10">
        <v>6.53</v>
      </c>
      <c r="T431" s="9">
        <v>208534.68</v>
      </c>
      <c r="U431" s="6">
        <v>44</v>
      </c>
      <c r="V431" t="s">
        <v>42</v>
      </c>
    </row>
    <row r="432" spans="1:22" x14ac:dyDescent="0.25">
      <c r="A432" t="s">
        <v>587</v>
      </c>
      <c r="B432" s="1">
        <v>45614</v>
      </c>
      <c r="C432" s="7">
        <f>YEAR(Table2[[#This Row],[Date]])</f>
        <v>2024</v>
      </c>
      <c r="D432" t="s">
        <v>31</v>
      </c>
      <c r="E432" t="s">
        <v>72</v>
      </c>
      <c r="F432" t="s">
        <v>24</v>
      </c>
      <c r="G432" t="b">
        <v>1</v>
      </c>
      <c r="H432" s="10">
        <v>2</v>
      </c>
      <c r="I432" s="10">
        <v>3</v>
      </c>
      <c r="J432" t="s">
        <v>54</v>
      </c>
      <c r="K432" s="9">
        <v>9351</v>
      </c>
      <c r="L432" t="s">
        <v>49</v>
      </c>
      <c r="M432" t="s">
        <v>61</v>
      </c>
      <c r="N432" s="7">
        <v>70</v>
      </c>
      <c r="O432" s="10">
        <v>0</v>
      </c>
      <c r="P432" s="7">
        <v>1</v>
      </c>
      <c r="Q432" t="s">
        <v>62</v>
      </c>
      <c r="R432" s="9">
        <v>49026</v>
      </c>
      <c r="S432" s="10">
        <v>6.13</v>
      </c>
      <c r="T432" s="9">
        <v>128903.33</v>
      </c>
      <c r="U432" s="6">
        <v>24</v>
      </c>
      <c r="V432" t="s">
        <v>152</v>
      </c>
    </row>
    <row r="433" spans="1:22" x14ac:dyDescent="0.25">
      <c r="A433" t="s">
        <v>588</v>
      </c>
      <c r="B433" s="1">
        <v>45850</v>
      </c>
      <c r="C433" s="7">
        <f>YEAR(Table2[[#This Row],[Date]])</f>
        <v>2025</v>
      </c>
      <c r="D433" t="s">
        <v>22</v>
      </c>
      <c r="E433" t="s">
        <v>37</v>
      </c>
      <c r="F433" t="s">
        <v>38</v>
      </c>
      <c r="G433" t="b">
        <v>1</v>
      </c>
      <c r="H433" s="10">
        <v>4</v>
      </c>
      <c r="I433" s="10">
        <v>0</v>
      </c>
      <c r="J433" t="s">
        <v>25</v>
      </c>
      <c r="K433" s="9">
        <v>45921</v>
      </c>
      <c r="L433" t="s">
        <v>331</v>
      </c>
      <c r="M433" t="s">
        <v>27</v>
      </c>
      <c r="N433" s="7">
        <v>20</v>
      </c>
      <c r="O433" s="10">
        <v>2</v>
      </c>
      <c r="P433" s="7">
        <v>0</v>
      </c>
      <c r="Q433" t="s">
        <v>87</v>
      </c>
      <c r="R433" s="9">
        <v>47164</v>
      </c>
      <c r="S433" s="10">
        <v>7.07</v>
      </c>
      <c r="T433" s="9">
        <v>34129.57</v>
      </c>
      <c r="U433" s="6">
        <v>54</v>
      </c>
      <c r="V433" t="s">
        <v>42</v>
      </c>
    </row>
    <row r="434" spans="1:22" x14ac:dyDescent="0.25">
      <c r="A434" t="s">
        <v>589</v>
      </c>
      <c r="B434" s="1">
        <v>45793</v>
      </c>
      <c r="C434" s="7">
        <f>YEAR(Table2[[#This Row],[Date]])</f>
        <v>2025</v>
      </c>
      <c r="D434" t="s">
        <v>36</v>
      </c>
      <c r="E434" t="s">
        <v>48</v>
      </c>
      <c r="F434" t="s">
        <v>38</v>
      </c>
      <c r="G434" t="b">
        <v>1</v>
      </c>
      <c r="H434" s="10">
        <v>1</v>
      </c>
      <c r="I434" s="10">
        <v>3</v>
      </c>
      <c r="J434" t="s">
        <v>54</v>
      </c>
      <c r="K434" s="9">
        <v>14900</v>
      </c>
      <c r="L434" t="s">
        <v>195</v>
      </c>
      <c r="M434" t="s">
        <v>34</v>
      </c>
      <c r="N434" s="7">
        <v>75</v>
      </c>
      <c r="O434" s="10">
        <v>0</v>
      </c>
      <c r="P434" s="7">
        <v>0</v>
      </c>
      <c r="Q434" t="s">
        <v>51</v>
      </c>
      <c r="R434" s="9">
        <v>149614</v>
      </c>
      <c r="S434" s="10">
        <v>5.9</v>
      </c>
      <c r="T434" s="9">
        <v>115914.79</v>
      </c>
      <c r="U434" s="6">
        <v>41</v>
      </c>
      <c r="V434" t="s">
        <v>29</v>
      </c>
    </row>
    <row r="435" spans="1:22" x14ac:dyDescent="0.25">
      <c r="A435" t="s">
        <v>590</v>
      </c>
      <c r="B435" s="1">
        <v>45721</v>
      </c>
      <c r="C435" s="7">
        <f>YEAR(Table2[[#This Row],[Date]])</f>
        <v>2025</v>
      </c>
      <c r="D435" t="s">
        <v>77</v>
      </c>
      <c r="E435" t="s">
        <v>32</v>
      </c>
      <c r="F435" t="s">
        <v>44</v>
      </c>
      <c r="G435" t="b">
        <v>0</v>
      </c>
      <c r="H435" s="10">
        <v>5</v>
      </c>
      <c r="I435" s="10">
        <v>4</v>
      </c>
      <c r="J435" t="s">
        <v>25</v>
      </c>
      <c r="K435" s="9">
        <v>17060</v>
      </c>
      <c r="L435" t="s">
        <v>261</v>
      </c>
      <c r="M435" t="s">
        <v>27</v>
      </c>
      <c r="N435" s="7">
        <v>21</v>
      </c>
      <c r="O435" s="10">
        <v>1</v>
      </c>
      <c r="P435" s="7">
        <v>2</v>
      </c>
      <c r="Q435" t="s">
        <v>28</v>
      </c>
      <c r="R435" s="9">
        <v>84051</v>
      </c>
      <c r="S435" s="10">
        <v>7.86</v>
      </c>
      <c r="T435" s="9">
        <v>150940.06</v>
      </c>
      <c r="U435" s="6">
        <v>55</v>
      </c>
      <c r="V435" t="s">
        <v>42</v>
      </c>
    </row>
    <row r="436" spans="1:22" x14ac:dyDescent="0.25">
      <c r="A436" t="s">
        <v>591</v>
      </c>
      <c r="B436" s="1">
        <v>45878</v>
      </c>
      <c r="C436" s="7">
        <f>YEAR(Table2[[#This Row],[Date]])</f>
        <v>2025</v>
      </c>
      <c r="D436" t="s">
        <v>97</v>
      </c>
      <c r="E436" t="s">
        <v>48</v>
      </c>
      <c r="F436" t="s">
        <v>24</v>
      </c>
      <c r="G436" t="b">
        <v>0</v>
      </c>
      <c r="H436" s="10">
        <v>0</v>
      </c>
      <c r="I436" s="10">
        <v>3</v>
      </c>
      <c r="J436" t="s">
        <v>54</v>
      </c>
      <c r="K436" s="9">
        <v>11947</v>
      </c>
      <c r="L436" t="s">
        <v>424</v>
      </c>
      <c r="M436" t="s">
        <v>27</v>
      </c>
      <c r="N436" s="7">
        <v>20</v>
      </c>
      <c r="O436" s="10">
        <v>2</v>
      </c>
      <c r="P436" s="7">
        <v>1</v>
      </c>
      <c r="Q436" t="s">
        <v>51</v>
      </c>
      <c r="R436" s="9">
        <v>104243</v>
      </c>
      <c r="S436" s="10">
        <v>2.71</v>
      </c>
      <c r="T436" s="9">
        <v>11670.18</v>
      </c>
      <c r="U436" s="6">
        <v>40</v>
      </c>
      <c r="V436" t="s">
        <v>29</v>
      </c>
    </row>
    <row r="437" spans="1:22" x14ac:dyDescent="0.25">
      <c r="A437" t="s">
        <v>592</v>
      </c>
      <c r="B437" s="1">
        <v>45946</v>
      </c>
      <c r="C437" s="7">
        <f>YEAR(Table2[[#This Row],[Date]])</f>
        <v>2025</v>
      </c>
      <c r="D437" t="s">
        <v>53</v>
      </c>
      <c r="E437" t="s">
        <v>83</v>
      </c>
      <c r="F437" t="s">
        <v>24</v>
      </c>
      <c r="G437" t="b">
        <v>1</v>
      </c>
      <c r="H437" s="10">
        <v>0</v>
      </c>
      <c r="I437" s="10">
        <v>0</v>
      </c>
      <c r="J437" t="s">
        <v>39</v>
      </c>
      <c r="K437" s="9">
        <v>38507</v>
      </c>
      <c r="L437" t="s">
        <v>238</v>
      </c>
      <c r="M437" t="s">
        <v>61</v>
      </c>
      <c r="N437" s="7">
        <v>68</v>
      </c>
      <c r="O437" s="10">
        <v>0</v>
      </c>
      <c r="P437" s="7">
        <v>0</v>
      </c>
      <c r="Q437" t="s">
        <v>46</v>
      </c>
      <c r="R437" s="9">
        <v>84497</v>
      </c>
      <c r="S437" s="10">
        <v>1.7</v>
      </c>
      <c r="T437" s="9">
        <v>241825.13</v>
      </c>
      <c r="U437" s="6">
        <v>45</v>
      </c>
      <c r="V437" t="s">
        <v>42</v>
      </c>
    </row>
    <row r="438" spans="1:22" x14ac:dyDescent="0.25">
      <c r="A438" t="s">
        <v>593</v>
      </c>
      <c r="B438" s="1">
        <v>45632</v>
      </c>
      <c r="C438" s="7">
        <f>YEAR(Table2[[#This Row],[Date]])</f>
        <v>2024</v>
      </c>
      <c r="D438" t="s">
        <v>77</v>
      </c>
      <c r="E438" t="s">
        <v>98</v>
      </c>
      <c r="F438" t="s">
        <v>24</v>
      </c>
      <c r="G438" t="b">
        <v>0</v>
      </c>
      <c r="H438" s="10">
        <v>5</v>
      </c>
      <c r="I438" s="10">
        <v>3</v>
      </c>
      <c r="J438" t="s">
        <v>25</v>
      </c>
      <c r="K438" s="9">
        <v>8797</v>
      </c>
      <c r="L438" t="s">
        <v>334</v>
      </c>
      <c r="M438" t="s">
        <v>34</v>
      </c>
      <c r="N438" s="7">
        <v>61</v>
      </c>
      <c r="O438" s="10">
        <v>1</v>
      </c>
      <c r="P438" s="7">
        <v>0</v>
      </c>
      <c r="Q438" t="s">
        <v>81</v>
      </c>
      <c r="R438" s="9">
        <v>90660</v>
      </c>
      <c r="S438" s="10">
        <v>2.6</v>
      </c>
      <c r="T438" s="9">
        <v>92693.92</v>
      </c>
      <c r="U438" s="6">
        <v>49</v>
      </c>
      <c r="V438" t="s">
        <v>29</v>
      </c>
    </row>
    <row r="439" spans="1:22" x14ac:dyDescent="0.25">
      <c r="A439" t="s">
        <v>594</v>
      </c>
      <c r="B439" s="1">
        <v>45966</v>
      </c>
      <c r="C439" s="7">
        <f>YEAR(Table2[[#This Row],[Date]])</f>
        <v>2025</v>
      </c>
      <c r="D439" t="s">
        <v>89</v>
      </c>
      <c r="E439" t="s">
        <v>23</v>
      </c>
      <c r="F439" t="s">
        <v>38</v>
      </c>
      <c r="G439" t="b">
        <v>0</v>
      </c>
      <c r="H439" s="10">
        <v>2</v>
      </c>
      <c r="I439" s="10">
        <v>0</v>
      </c>
      <c r="J439" t="s">
        <v>25</v>
      </c>
      <c r="K439" s="9">
        <v>43304</v>
      </c>
      <c r="L439" t="s">
        <v>111</v>
      </c>
      <c r="M439" t="s">
        <v>27</v>
      </c>
      <c r="N439" s="7">
        <v>95</v>
      </c>
      <c r="O439" s="10">
        <v>0</v>
      </c>
      <c r="P439" s="7">
        <v>1</v>
      </c>
      <c r="Q439" t="s">
        <v>28</v>
      </c>
      <c r="R439" s="9">
        <v>117420</v>
      </c>
      <c r="S439" s="10">
        <v>2.69</v>
      </c>
      <c r="T439" s="9">
        <v>113906.67</v>
      </c>
      <c r="U439" s="6">
        <v>41</v>
      </c>
      <c r="V439" t="s">
        <v>29</v>
      </c>
    </row>
    <row r="440" spans="1:22" x14ac:dyDescent="0.25">
      <c r="A440" t="s">
        <v>595</v>
      </c>
      <c r="B440" s="1">
        <v>45833</v>
      </c>
      <c r="C440" s="7">
        <f>YEAR(Table2[[#This Row],[Date]])</f>
        <v>2025</v>
      </c>
      <c r="D440" t="s">
        <v>69</v>
      </c>
      <c r="E440" t="s">
        <v>32</v>
      </c>
      <c r="F440" t="s">
        <v>24</v>
      </c>
      <c r="G440" t="b">
        <v>1</v>
      </c>
      <c r="H440" s="10">
        <v>3</v>
      </c>
      <c r="I440" s="10">
        <v>4</v>
      </c>
      <c r="J440" t="s">
        <v>54</v>
      </c>
      <c r="K440" s="9">
        <v>20350</v>
      </c>
      <c r="L440" t="s">
        <v>167</v>
      </c>
      <c r="M440" t="s">
        <v>34</v>
      </c>
      <c r="N440" s="7">
        <v>72</v>
      </c>
      <c r="O440" s="10">
        <v>0</v>
      </c>
      <c r="P440" s="7">
        <v>0</v>
      </c>
      <c r="Q440" t="s">
        <v>51</v>
      </c>
      <c r="R440" s="9">
        <v>103278</v>
      </c>
      <c r="S440" s="10">
        <v>0.95</v>
      </c>
      <c r="T440" s="9">
        <v>212264.46</v>
      </c>
      <c r="U440" s="6">
        <v>27</v>
      </c>
      <c r="V440" t="s">
        <v>29</v>
      </c>
    </row>
    <row r="441" spans="1:22" x14ac:dyDescent="0.25">
      <c r="A441" t="s">
        <v>596</v>
      </c>
      <c r="B441" s="1">
        <v>45934</v>
      </c>
      <c r="C441" s="7">
        <f>YEAR(Table2[[#This Row],[Date]])</f>
        <v>2025</v>
      </c>
      <c r="D441" t="s">
        <v>89</v>
      </c>
      <c r="E441" t="s">
        <v>23</v>
      </c>
      <c r="F441" t="s">
        <v>24</v>
      </c>
      <c r="G441" t="b">
        <v>0</v>
      </c>
      <c r="H441" s="10">
        <v>0</v>
      </c>
      <c r="I441" s="10">
        <v>1</v>
      </c>
      <c r="J441" t="s">
        <v>54</v>
      </c>
      <c r="K441" s="9">
        <v>34201</v>
      </c>
      <c r="L441" t="s">
        <v>208</v>
      </c>
      <c r="M441" t="s">
        <v>61</v>
      </c>
      <c r="N441" s="7">
        <v>68</v>
      </c>
      <c r="O441" s="10">
        <v>2</v>
      </c>
      <c r="P441" s="7">
        <v>0</v>
      </c>
      <c r="Q441" t="s">
        <v>87</v>
      </c>
      <c r="R441" s="9">
        <v>91301</v>
      </c>
      <c r="S441" s="10">
        <v>2.97</v>
      </c>
      <c r="T441" s="9">
        <v>248101.87</v>
      </c>
      <c r="U441" s="6">
        <v>22</v>
      </c>
      <c r="V441" t="s">
        <v>42</v>
      </c>
    </row>
    <row r="442" spans="1:22" x14ac:dyDescent="0.25">
      <c r="A442" t="s">
        <v>597</v>
      </c>
      <c r="B442" s="1">
        <v>45428</v>
      </c>
      <c r="C442" s="7">
        <f>YEAR(Table2[[#This Row],[Date]])</f>
        <v>2024</v>
      </c>
      <c r="D442" t="s">
        <v>77</v>
      </c>
      <c r="E442" t="s">
        <v>98</v>
      </c>
      <c r="F442" t="s">
        <v>44</v>
      </c>
      <c r="G442" t="b">
        <v>1</v>
      </c>
      <c r="H442" s="10">
        <v>3</v>
      </c>
      <c r="I442" s="10">
        <v>2</v>
      </c>
      <c r="J442" t="s">
        <v>25</v>
      </c>
      <c r="K442" s="9">
        <v>30961</v>
      </c>
      <c r="L442" t="s">
        <v>306</v>
      </c>
      <c r="M442" t="s">
        <v>34</v>
      </c>
      <c r="N442" s="7">
        <v>25</v>
      </c>
      <c r="O442" s="10">
        <v>2</v>
      </c>
      <c r="P442" s="7">
        <v>0</v>
      </c>
      <c r="Q442" t="s">
        <v>81</v>
      </c>
      <c r="R442" s="9">
        <v>145960</v>
      </c>
      <c r="S442" s="10">
        <v>3.59</v>
      </c>
      <c r="T442" s="9">
        <v>50298.43</v>
      </c>
      <c r="U442" s="6">
        <v>25</v>
      </c>
      <c r="V442" t="s">
        <v>42</v>
      </c>
    </row>
    <row r="443" spans="1:22" x14ac:dyDescent="0.25">
      <c r="A443" t="s">
        <v>598</v>
      </c>
      <c r="B443" s="1">
        <v>45818</v>
      </c>
      <c r="C443" s="7">
        <f>YEAR(Table2[[#This Row],[Date]])</f>
        <v>2025</v>
      </c>
      <c r="D443" t="s">
        <v>89</v>
      </c>
      <c r="E443" t="s">
        <v>23</v>
      </c>
      <c r="F443" t="s">
        <v>38</v>
      </c>
      <c r="G443" t="b">
        <v>1</v>
      </c>
      <c r="H443" s="10">
        <v>1</v>
      </c>
      <c r="I443" s="10">
        <v>2</v>
      </c>
      <c r="J443" t="s">
        <v>54</v>
      </c>
      <c r="K443" s="9">
        <v>23170</v>
      </c>
      <c r="L443" t="s">
        <v>308</v>
      </c>
      <c r="M443" t="s">
        <v>50</v>
      </c>
      <c r="N443" s="7">
        <v>64</v>
      </c>
      <c r="O443" s="10">
        <v>0</v>
      </c>
      <c r="P443" s="7">
        <v>1</v>
      </c>
      <c r="Q443" t="s">
        <v>62</v>
      </c>
      <c r="R443" s="9">
        <v>97682</v>
      </c>
      <c r="S443" s="10">
        <v>7.51</v>
      </c>
      <c r="T443" s="9">
        <v>233688.04</v>
      </c>
      <c r="U443" s="6">
        <v>45</v>
      </c>
      <c r="V443" t="s">
        <v>29</v>
      </c>
    </row>
    <row r="444" spans="1:22" x14ac:dyDescent="0.25">
      <c r="A444" t="s">
        <v>599</v>
      </c>
      <c r="B444" s="1">
        <v>45553</v>
      </c>
      <c r="C444" s="7">
        <f>YEAR(Table2[[#This Row],[Date]])</f>
        <v>2024</v>
      </c>
      <c r="D444" t="s">
        <v>36</v>
      </c>
      <c r="E444" t="s">
        <v>83</v>
      </c>
      <c r="F444" t="s">
        <v>44</v>
      </c>
      <c r="G444" t="b">
        <v>1</v>
      </c>
      <c r="H444" s="10">
        <v>3</v>
      </c>
      <c r="I444" s="10">
        <v>3</v>
      </c>
      <c r="J444" t="s">
        <v>39</v>
      </c>
      <c r="K444" s="9">
        <v>46294</v>
      </c>
      <c r="L444" t="s">
        <v>107</v>
      </c>
      <c r="M444" t="s">
        <v>61</v>
      </c>
      <c r="N444" s="7">
        <v>80</v>
      </c>
      <c r="O444" s="10">
        <v>2</v>
      </c>
      <c r="P444" s="7">
        <v>2</v>
      </c>
      <c r="Q444" t="s">
        <v>46</v>
      </c>
      <c r="R444" s="9">
        <v>61493</v>
      </c>
      <c r="S444" s="10">
        <v>7.2</v>
      </c>
      <c r="T444" s="9">
        <v>225794.16</v>
      </c>
      <c r="U444" s="6">
        <v>22</v>
      </c>
      <c r="V444" t="s">
        <v>42</v>
      </c>
    </row>
    <row r="445" spans="1:22" x14ac:dyDescent="0.25">
      <c r="A445" t="s">
        <v>600</v>
      </c>
      <c r="B445" s="1">
        <v>45910</v>
      </c>
      <c r="C445" s="7">
        <f>YEAR(Table2[[#This Row],[Date]])</f>
        <v>2025</v>
      </c>
      <c r="D445" t="s">
        <v>36</v>
      </c>
      <c r="E445" t="s">
        <v>83</v>
      </c>
      <c r="F445" t="s">
        <v>38</v>
      </c>
      <c r="G445" t="b">
        <v>0</v>
      </c>
      <c r="H445" s="10">
        <v>3</v>
      </c>
      <c r="I445" s="10">
        <v>3</v>
      </c>
      <c r="J445" t="s">
        <v>39</v>
      </c>
      <c r="K445" s="9">
        <v>20045</v>
      </c>
      <c r="L445" t="s">
        <v>135</v>
      </c>
      <c r="M445" t="s">
        <v>27</v>
      </c>
      <c r="N445" s="7">
        <v>72</v>
      </c>
      <c r="O445" s="10">
        <v>2</v>
      </c>
      <c r="P445" s="7">
        <v>0</v>
      </c>
      <c r="Q445" t="s">
        <v>28</v>
      </c>
      <c r="R445" s="9">
        <v>47393</v>
      </c>
      <c r="S445" s="10">
        <v>2.0099999999999998</v>
      </c>
      <c r="T445" s="9">
        <v>63097.56</v>
      </c>
      <c r="U445" s="6">
        <v>30</v>
      </c>
      <c r="V445" t="s">
        <v>29</v>
      </c>
    </row>
    <row r="446" spans="1:22" x14ac:dyDescent="0.25">
      <c r="A446" t="s">
        <v>601</v>
      </c>
      <c r="B446" s="1">
        <v>45829</v>
      </c>
      <c r="C446" s="7">
        <f>YEAR(Table2[[#This Row],[Date]])</f>
        <v>2025</v>
      </c>
      <c r="D446" t="s">
        <v>77</v>
      </c>
      <c r="E446" t="s">
        <v>98</v>
      </c>
      <c r="F446" t="s">
        <v>38</v>
      </c>
      <c r="G446" t="b">
        <v>0</v>
      </c>
      <c r="H446" s="10">
        <v>2</v>
      </c>
      <c r="I446" s="10">
        <v>4</v>
      </c>
      <c r="J446" t="s">
        <v>54</v>
      </c>
      <c r="K446" s="9">
        <v>42415</v>
      </c>
      <c r="L446" t="s">
        <v>178</v>
      </c>
      <c r="M446" t="s">
        <v>61</v>
      </c>
      <c r="N446" s="7">
        <v>28</v>
      </c>
      <c r="O446" s="10">
        <v>1</v>
      </c>
      <c r="P446" s="7">
        <v>0</v>
      </c>
      <c r="Q446" t="s">
        <v>81</v>
      </c>
      <c r="R446" s="9">
        <v>96536</v>
      </c>
      <c r="S446" s="10">
        <v>5.14</v>
      </c>
      <c r="T446" s="9">
        <v>214598.07</v>
      </c>
      <c r="U446" s="6">
        <v>51</v>
      </c>
      <c r="V446" t="s">
        <v>42</v>
      </c>
    </row>
    <row r="447" spans="1:22" x14ac:dyDescent="0.25">
      <c r="A447" t="s">
        <v>602</v>
      </c>
      <c r="B447" s="1">
        <v>45765</v>
      </c>
      <c r="C447" s="7">
        <f>YEAR(Table2[[#This Row],[Date]])</f>
        <v>2025</v>
      </c>
      <c r="D447" t="s">
        <v>69</v>
      </c>
      <c r="E447" t="s">
        <v>83</v>
      </c>
      <c r="F447" t="s">
        <v>24</v>
      </c>
      <c r="G447" t="b">
        <v>1</v>
      </c>
      <c r="H447" s="10">
        <v>2</v>
      </c>
      <c r="I447" s="10">
        <v>4</v>
      </c>
      <c r="J447" t="s">
        <v>54</v>
      </c>
      <c r="K447" s="9">
        <v>16790</v>
      </c>
      <c r="L447" t="s">
        <v>64</v>
      </c>
      <c r="M447" t="s">
        <v>27</v>
      </c>
      <c r="N447" s="7">
        <v>12</v>
      </c>
      <c r="O447" s="10">
        <v>0</v>
      </c>
      <c r="P447" s="7">
        <v>0</v>
      </c>
      <c r="Q447" t="s">
        <v>46</v>
      </c>
      <c r="R447" s="9">
        <v>14501</v>
      </c>
      <c r="S447" s="10">
        <v>9.0299999999999994</v>
      </c>
      <c r="T447" s="9">
        <v>197075.37</v>
      </c>
      <c r="U447" s="6">
        <v>44</v>
      </c>
      <c r="V447" t="s">
        <v>42</v>
      </c>
    </row>
    <row r="448" spans="1:22" x14ac:dyDescent="0.25">
      <c r="A448" t="s">
        <v>603</v>
      </c>
      <c r="B448" s="1">
        <v>45322</v>
      </c>
      <c r="C448" s="7">
        <f>YEAR(Table2[[#This Row],[Date]])</f>
        <v>2024</v>
      </c>
      <c r="D448" t="s">
        <v>97</v>
      </c>
      <c r="E448" t="s">
        <v>32</v>
      </c>
      <c r="F448" t="s">
        <v>44</v>
      </c>
      <c r="G448" t="b">
        <v>1</v>
      </c>
      <c r="H448" s="10">
        <v>4</v>
      </c>
      <c r="I448" s="10">
        <v>1</v>
      </c>
      <c r="J448" t="s">
        <v>25</v>
      </c>
      <c r="K448" s="9">
        <v>51351</v>
      </c>
      <c r="L448" t="s">
        <v>316</v>
      </c>
      <c r="M448" t="s">
        <v>27</v>
      </c>
      <c r="N448" s="7">
        <v>37</v>
      </c>
      <c r="O448" s="10">
        <v>0</v>
      </c>
      <c r="P448" s="7">
        <v>1</v>
      </c>
      <c r="Q448" t="s">
        <v>51</v>
      </c>
      <c r="R448" s="9">
        <v>131415</v>
      </c>
      <c r="S448" s="10">
        <v>2.06</v>
      </c>
      <c r="T448" s="9">
        <v>150884.34</v>
      </c>
      <c r="U448" s="6">
        <v>51</v>
      </c>
      <c r="V448" t="s">
        <v>29</v>
      </c>
    </row>
    <row r="449" spans="1:22" x14ac:dyDescent="0.25">
      <c r="A449" t="s">
        <v>604</v>
      </c>
      <c r="B449" s="1">
        <v>45443</v>
      </c>
      <c r="C449" s="7">
        <f>YEAR(Table2[[#This Row],[Date]])</f>
        <v>2024</v>
      </c>
      <c r="D449" t="s">
        <v>36</v>
      </c>
      <c r="E449" t="s">
        <v>48</v>
      </c>
      <c r="F449" t="s">
        <v>24</v>
      </c>
      <c r="G449" t="b">
        <v>0</v>
      </c>
      <c r="H449" s="10">
        <v>5</v>
      </c>
      <c r="I449" s="10">
        <v>2</v>
      </c>
      <c r="J449" t="s">
        <v>25</v>
      </c>
      <c r="K449" s="9">
        <v>13171</v>
      </c>
      <c r="L449" t="s">
        <v>75</v>
      </c>
      <c r="M449" t="s">
        <v>34</v>
      </c>
      <c r="N449" s="7">
        <v>65</v>
      </c>
      <c r="O449" s="10">
        <v>1</v>
      </c>
      <c r="P449" s="7">
        <v>0</v>
      </c>
      <c r="Q449" t="s">
        <v>87</v>
      </c>
      <c r="R449" s="9">
        <v>142089</v>
      </c>
      <c r="S449" s="10">
        <v>4.3499999999999996</v>
      </c>
      <c r="T449" s="9">
        <v>69478.429999999993</v>
      </c>
      <c r="U449" s="6">
        <v>31</v>
      </c>
      <c r="V449" t="s">
        <v>29</v>
      </c>
    </row>
    <row r="450" spans="1:22" x14ac:dyDescent="0.25">
      <c r="A450" t="s">
        <v>605</v>
      </c>
      <c r="B450" s="1">
        <v>45327</v>
      </c>
      <c r="C450" s="7">
        <f>YEAR(Table2[[#This Row],[Date]])</f>
        <v>2024</v>
      </c>
      <c r="D450" t="s">
        <v>77</v>
      </c>
      <c r="E450" t="s">
        <v>48</v>
      </c>
      <c r="F450" t="s">
        <v>38</v>
      </c>
      <c r="G450" t="b">
        <v>0</v>
      </c>
      <c r="H450" s="10">
        <v>5</v>
      </c>
      <c r="I450" s="10">
        <v>1</v>
      </c>
      <c r="J450" t="s">
        <v>25</v>
      </c>
      <c r="K450" s="9">
        <v>36280</v>
      </c>
      <c r="L450" t="s">
        <v>200</v>
      </c>
      <c r="M450" t="s">
        <v>27</v>
      </c>
      <c r="N450" s="7">
        <v>36</v>
      </c>
      <c r="O450" s="10">
        <v>1</v>
      </c>
      <c r="P450" s="7">
        <v>1</v>
      </c>
      <c r="Q450" t="s">
        <v>87</v>
      </c>
      <c r="R450" s="9">
        <v>107437</v>
      </c>
      <c r="S450" s="10">
        <v>8.7799999999999994</v>
      </c>
      <c r="T450" s="9">
        <v>204476.91</v>
      </c>
      <c r="U450" s="6">
        <v>39</v>
      </c>
      <c r="V450" t="s">
        <v>29</v>
      </c>
    </row>
    <row r="451" spans="1:22" x14ac:dyDescent="0.25">
      <c r="A451" t="s">
        <v>606</v>
      </c>
      <c r="B451" s="1">
        <v>45815</v>
      </c>
      <c r="C451" s="7">
        <f>YEAR(Table2[[#This Row],[Date]])</f>
        <v>2025</v>
      </c>
      <c r="D451" t="s">
        <v>97</v>
      </c>
      <c r="E451" t="s">
        <v>98</v>
      </c>
      <c r="F451" t="s">
        <v>38</v>
      </c>
      <c r="G451" t="b">
        <v>0</v>
      </c>
      <c r="H451" s="10">
        <v>1</v>
      </c>
      <c r="I451" s="10">
        <v>2</v>
      </c>
      <c r="J451" t="s">
        <v>54</v>
      </c>
      <c r="K451" s="9">
        <v>47907</v>
      </c>
      <c r="L451" t="s">
        <v>75</v>
      </c>
      <c r="M451" t="s">
        <v>34</v>
      </c>
      <c r="N451" s="7">
        <v>42</v>
      </c>
      <c r="O451" s="10">
        <v>0</v>
      </c>
      <c r="P451" s="7">
        <v>0</v>
      </c>
      <c r="Q451" t="s">
        <v>46</v>
      </c>
      <c r="R451" s="9">
        <v>86319</v>
      </c>
      <c r="S451" s="10">
        <v>8.85</v>
      </c>
      <c r="T451" s="9">
        <v>177861.55</v>
      </c>
      <c r="U451" s="6">
        <v>47</v>
      </c>
      <c r="V451" t="s">
        <v>29</v>
      </c>
    </row>
    <row r="452" spans="1:22" x14ac:dyDescent="0.25">
      <c r="A452" t="s">
        <v>607</v>
      </c>
      <c r="B452" s="1">
        <v>45343</v>
      </c>
      <c r="C452" s="7">
        <f>YEAR(Table2[[#This Row],[Date]])</f>
        <v>2024</v>
      </c>
      <c r="D452" t="s">
        <v>77</v>
      </c>
      <c r="E452" t="s">
        <v>37</v>
      </c>
      <c r="F452" t="s">
        <v>24</v>
      </c>
      <c r="G452" t="b">
        <v>1</v>
      </c>
      <c r="H452" s="10">
        <v>0</v>
      </c>
      <c r="I452" s="10">
        <v>0</v>
      </c>
      <c r="J452" t="s">
        <v>39</v>
      </c>
      <c r="K452" s="9">
        <v>52812</v>
      </c>
      <c r="L452" t="s">
        <v>163</v>
      </c>
      <c r="M452" t="s">
        <v>27</v>
      </c>
      <c r="N452" s="7">
        <v>60</v>
      </c>
      <c r="O452" s="10">
        <v>0</v>
      </c>
      <c r="P452" s="7">
        <v>0</v>
      </c>
      <c r="Q452" t="s">
        <v>87</v>
      </c>
      <c r="R452" s="9">
        <v>133500</v>
      </c>
      <c r="S452" s="10">
        <v>0.85</v>
      </c>
      <c r="T452" s="9">
        <v>54591.38</v>
      </c>
      <c r="U452" s="6">
        <v>27</v>
      </c>
      <c r="V452" t="s">
        <v>29</v>
      </c>
    </row>
    <row r="453" spans="1:22" x14ac:dyDescent="0.25">
      <c r="A453" t="s">
        <v>608</v>
      </c>
      <c r="B453" s="1">
        <v>46014</v>
      </c>
      <c r="C453" s="7">
        <f>YEAR(Table2[[#This Row],[Date]])</f>
        <v>2025</v>
      </c>
      <c r="D453" t="s">
        <v>36</v>
      </c>
      <c r="E453" t="s">
        <v>98</v>
      </c>
      <c r="F453" t="s">
        <v>38</v>
      </c>
      <c r="G453" t="b">
        <v>0</v>
      </c>
      <c r="H453" s="10">
        <v>4</v>
      </c>
      <c r="I453" s="10">
        <v>3</v>
      </c>
      <c r="J453" t="s">
        <v>25</v>
      </c>
      <c r="K453" s="9">
        <v>42776</v>
      </c>
      <c r="L453" t="s">
        <v>109</v>
      </c>
      <c r="M453" t="s">
        <v>50</v>
      </c>
      <c r="N453" s="7">
        <v>51</v>
      </c>
      <c r="O453" s="10">
        <v>2</v>
      </c>
      <c r="P453" s="7">
        <v>0</v>
      </c>
      <c r="Q453" t="s">
        <v>51</v>
      </c>
      <c r="R453" s="9">
        <v>20626</v>
      </c>
      <c r="S453" s="10">
        <v>1.75</v>
      </c>
      <c r="T453" s="9">
        <v>182794.72</v>
      </c>
      <c r="U453" s="6">
        <v>27</v>
      </c>
      <c r="V453" t="s">
        <v>29</v>
      </c>
    </row>
    <row r="454" spans="1:22" x14ac:dyDescent="0.25">
      <c r="A454" t="s">
        <v>609</v>
      </c>
      <c r="B454" s="1">
        <v>45755</v>
      </c>
      <c r="C454" s="7">
        <f>YEAR(Table2[[#This Row],[Date]])</f>
        <v>2025</v>
      </c>
      <c r="D454" t="s">
        <v>53</v>
      </c>
      <c r="E454" t="s">
        <v>37</v>
      </c>
      <c r="F454" t="s">
        <v>38</v>
      </c>
      <c r="G454" t="b">
        <v>0</v>
      </c>
      <c r="H454" s="10">
        <v>4</v>
      </c>
      <c r="I454" s="10">
        <v>2</v>
      </c>
      <c r="J454" t="s">
        <v>25</v>
      </c>
      <c r="K454" s="9">
        <v>53378</v>
      </c>
      <c r="L454" t="s">
        <v>316</v>
      </c>
      <c r="M454" t="s">
        <v>34</v>
      </c>
      <c r="N454" s="7">
        <v>78</v>
      </c>
      <c r="O454" s="10">
        <v>2</v>
      </c>
      <c r="P454" s="7">
        <v>2</v>
      </c>
      <c r="Q454" t="s">
        <v>62</v>
      </c>
      <c r="R454" s="9">
        <v>122836</v>
      </c>
      <c r="S454" s="10">
        <v>6.81</v>
      </c>
      <c r="T454" s="9">
        <v>211211.29</v>
      </c>
      <c r="U454" s="6">
        <v>48</v>
      </c>
      <c r="V454" t="s">
        <v>29</v>
      </c>
    </row>
    <row r="455" spans="1:22" x14ac:dyDescent="0.25">
      <c r="A455" t="s">
        <v>610</v>
      </c>
      <c r="B455" s="1">
        <v>45642</v>
      </c>
      <c r="C455" s="7">
        <f>YEAR(Table2[[#This Row],[Date]])</f>
        <v>2024</v>
      </c>
      <c r="D455" t="s">
        <v>53</v>
      </c>
      <c r="E455" t="s">
        <v>98</v>
      </c>
      <c r="F455" t="s">
        <v>24</v>
      </c>
      <c r="G455" t="b">
        <v>0</v>
      </c>
      <c r="H455" s="10">
        <v>3</v>
      </c>
      <c r="I455" s="10">
        <v>0</v>
      </c>
      <c r="J455" t="s">
        <v>25</v>
      </c>
      <c r="K455" s="9">
        <v>40888</v>
      </c>
      <c r="L455" t="s">
        <v>399</v>
      </c>
      <c r="M455" t="s">
        <v>50</v>
      </c>
      <c r="N455" s="7">
        <v>19</v>
      </c>
      <c r="O455" s="10">
        <v>0</v>
      </c>
      <c r="P455" s="7">
        <v>1</v>
      </c>
      <c r="Q455" t="s">
        <v>51</v>
      </c>
      <c r="R455" s="9">
        <v>2274</v>
      </c>
      <c r="S455" s="10">
        <v>6.62</v>
      </c>
      <c r="T455" s="9">
        <v>168979.24</v>
      </c>
      <c r="U455" s="6">
        <v>64</v>
      </c>
      <c r="V455" t="s">
        <v>29</v>
      </c>
    </row>
    <row r="456" spans="1:22" x14ac:dyDescent="0.25">
      <c r="A456" t="s">
        <v>611</v>
      </c>
      <c r="B456" s="1">
        <v>45497</v>
      </c>
      <c r="C456" s="7">
        <f>YEAR(Table2[[#This Row],[Date]])</f>
        <v>2024</v>
      </c>
      <c r="D456" t="s">
        <v>31</v>
      </c>
      <c r="E456" t="s">
        <v>48</v>
      </c>
      <c r="F456" t="s">
        <v>38</v>
      </c>
      <c r="G456" t="b">
        <v>1</v>
      </c>
      <c r="H456" s="10">
        <v>3</v>
      </c>
      <c r="I456" s="10">
        <v>0</v>
      </c>
      <c r="J456" t="s">
        <v>25</v>
      </c>
      <c r="K456" s="9">
        <v>37788</v>
      </c>
      <c r="L456" t="s">
        <v>296</v>
      </c>
      <c r="M456" t="s">
        <v>61</v>
      </c>
      <c r="N456" s="7">
        <v>10</v>
      </c>
      <c r="O456" s="10">
        <v>0</v>
      </c>
      <c r="P456" s="7">
        <v>2</v>
      </c>
      <c r="Q456" t="s">
        <v>41</v>
      </c>
      <c r="R456" s="9">
        <v>10317</v>
      </c>
      <c r="S456" s="10">
        <v>8.5299999999999994</v>
      </c>
      <c r="T456" s="9">
        <v>201900.42</v>
      </c>
      <c r="U456" s="6">
        <v>59</v>
      </c>
      <c r="V456" t="s">
        <v>42</v>
      </c>
    </row>
    <row r="457" spans="1:22" x14ac:dyDescent="0.25">
      <c r="A457" t="s">
        <v>612</v>
      </c>
      <c r="B457" s="1">
        <v>45384</v>
      </c>
      <c r="C457" s="7">
        <f>YEAR(Table2[[#This Row],[Date]])</f>
        <v>2024</v>
      </c>
      <c r="D457" t="s">
        <v>97</v>
      </c>
      <c r="E457" t="s">
        <v>83</v>
      </c>
      <c r="F457" t="s">
        <v>44</v>
      </c>
      <c r="G457" t="b">
        <v>1</v>
      </c>
      <c r="H457" s="10">
        <v>3</v>
      </c>
      <c r="I457" s="10">
        <v>0</v>
      </c>
      <c r="J457" t="s">
        <v>25</v>
      </c>
      <c r="K457" s="9">
        <v>5186</v>
      </c>
      <c r="L457" t="s">
        <v>133</v>
      </c>
      <c r="M457" t="s">
        <v>50</v>
      </c>
      <c r="N457" s="7">
        <v>32</v>
      </c>
      <c r="O457" s="10">
        <v>1</v>
      </c>
      <c r="P457" s="7">
        <v>0</v>
      </c>
      <c r="Q457" t="s">
        <v>81</v>
      </c>
      <c r="R457" s="9">
        <v>97369</v>
      </c>
      <c r="S457" s="10">
        <v>7.22</v>
      </c>
      <c r="T457" s="9">
        <v>126360.97</v>
      </c>
      <c r="U457" s="6">
        <v>37</v>
      </c>
      <c r="V457" t="s">
        <v>42</v>
      </c>
    </row>
    <row r="458" spans="1:22" x14ac:dyDescent="0.25">
      <c r="A458" t="s">
        <v>613</v>
      </c>
      <c r="B458" s="1">
        <v>45640</v>
      </c>
      <c r="C458" s="7">
        <f>YEAR(Table2[[#This Row],[Date]])</f>
        <v>2024</v>
      </c>
      <c r="D458" t="s">
        <v>53</v>
      </c>
      <c r="E458" t="s">
        <v>32</v>
      </c>
      <c r="F458" t="s">
        <v>24</v>
      </c>
      <c r="G458" t="b">
        <v>1</v>
      </c>
      <c r="H458" s="10">
        <v>3</v>
      </c>
      <c r="I458" s="10">
        <v>3</v>
      </c>
      <c r="J458" t="s">
        <v>39</v>
      </c>
      <c r="K458" s="9">
        <v>23426</v>
      </c>
      <c r="L458" t="s">
        <v>161</v>
      </c>
      <c r="M458" t="s">
        <v>34</v>
      </c>
      <c r="N458" s="7">
        <v>80</v>
      </c>
      <c r="O458" s="10">
        <v>0</v>
      </c>
      <c r="P458" s="7">
        <v>1</v>
      </c>
      <c r="Q458" t="s">
        <v>87</v>
      </c>
      <c r="R458" s="9">
        <v>73632</v>
      </c>
      <c r="S458" s="10">
        <v>8.9600000000000009</v>
      </c>
      <c r="T458" s="9">
        <v>228622.99</v>
      </c>
      <c r="U458" s="6">
        <v>61</v>
      </c>
      <c r="V458" t="s">
        <v>42</v>
      </c>
    </row>
    <row r="459" spans="1:22" x14ac:dyDescent="0.25">
      <c r="A459" t="s">
        <v>614</v>
      </c>
      <c r="B459" s="1">
        <v>45502</v>
      </c>
      <c r="C459" s="7">
        <f>YEAR(Table2[[#This Row],[Date]])</f>
        <v>2024</v>
      </c>
      <c r="D459" t="s">
        <v>69</v>
      </c>
      <c r="E459" t="s">
        <v>48</v>
      </c>
      <c r="F459" t="s">
        <v>24</v>
      </c>
      <c r="G459" t="b">
        <v>0</v>
      </c>
      <c r="H459" s="10">
        <v>2</v>
      </c>
      <c r="I459" s="10">
        <v>2</v>
      </c>
      <c r="J459" t="s">
        <v>39</v>
      </c>
      <c r="K459" s="9">
        <v>5475</v>
      </c>
      <c r="L459" t="s">
        <v>95</v>
      </c>
      <c r="M459" t="s">
        <v>50</v>
      </c>
      <c r="N459" s="7">
        <v>26</v>
      </c>
      <c r="O459" s="10">
        <v>2</v>
      </c>
      <c r="P459" s="7">
        <v>1</v>
      </c>
      <c r="Q459" t="s">
        <v>81</v>
      </c>
      <c r="R459" s="9">
        <v>109463</v>
      </c>
      <c r="S459" s="10">
        <v>4.7699999999999996</v>
      </c>
      <c r="T459" s="9">
        <v>232577.11</v>
      </c>
      <c r="U459" s="6">
        <v>57</v>
      </c>
      <c r="V459" t="s">
        <v>152</v>
      </c>
    </row>
    <row r="460" spans="1:22" x14ac:dyDescent="0.25">
      <c r="A460" t="s">
        <v>615</v>
      </c>
      <c r="B460" s="1">
        <v>45649</v>
      </c>
      <c r="C460" s="7">
        <f>YEAR(Table2[[#This Row],[Date]])</f>
        <v>2024</v>
      </c>
      <c r="D460" t="s">
        <v>53</v>
      </c>
      <c r="E460" t="s">
        <v>98</v>
      </c>
      <c r="F460" t="s">
        <v>38</v>
      </c>
      <c r="G460" t="b">
        <v>1</v>
      </c>
      <c r="H460" s="10">
        <v>5</v>
      </c>
      <c r="I460" s="10">
        <v>2</v>
      </c>
      <c r="J460" t="s">
        <v>25</v>
      </c>
      <c r="K460" s="9">
        <v>40329</v>
      </c>
      <c r="L460" t="s">
        <v>40</v>
      </c>
      <c r="M460" t="s">
        <v>27</v>
      </c>
      <c r="N460" s="7">
        <v>64</v>
      </c>
      <c r="O460" s="10">
        <v>1</v>
      </c>
      <c r="P460" s="7">
        <v>0</v>
      </c>
      <c r="Q460" t="s">
        <v>41</v>
      </c>
      <c r="R460" s="9">
        <v>88441</v>
      </c>
      <c r="S460" s="10">
        <v>9.34</v>
      </c>
      <c r="T460" s="9">
        <v>56652.18</v>
      </c>
      <c r="U460" s="6">
        <v>26</v>
      </c>
      <c r="V460" t="s">
        <v>42</v>
      </c>
    </row>
    <row r="461" spans="1:22" x14ac:dyDescent="0.25">
      <c r="A461" t="s">
        <v>616</v>
      </c>
      <c r="B461" s="1">
        <v>45457</v>
      </c>
      <c r="C461" s="7">
        <f>YEAR(Table2[[#This Row],[Date]])</f>
        <v>2024</v>
      </c>
      <c r="D461" t="s">
        <v>53</v>
      </c>
      <c r="E461" t="s">
        <v>32</v>
      </c>
      <c r="F461" t="s">
        <v>24</v>
      </c>
      <c r="G461" t="b">
        <v>0</v>
      </c>
      <c r="H461" s="10">
        <v>1</v>
      </c>
      <c r="I461" s="10">
        <v>0</v>
      </c>
      <c r="J461" t="s">
        <v>25</v>
      </c>
      <c r="K461" s="9">
        <v>16794</v>
      </c>
      <c r="L461" t="s">
        <v>73</v>
      </c>
      <c r="M461" t="s">
        <v>61</v>
      </c>
      <c r="N461" s="7">
        <v>57</v>
      </c>
      <c r="O461" s="10">
        <v>0</v>
      </c>
      <c r="P461" s="7">
        <v>0</v>
      </c>
      <c r="Q461" t="s">
        <v>51</v>
      </c>
      <c r="R461" s="9">
        <v>116750</v>
      </c>
      <c r="S461" s="10">
        <v>6.71</v>
      </c>
      <c r="T461" s="9">
        <v>67200.929999999993</v>
      </c>
      <c r="U461" s="6">
        <v>48</v>
      </c>
      <c r="V461" t="s">
        <v>42</v>
      </c>
    </row>
    <row r="462" spans="1:22" x14ac:dyDescent="0.25">
      <c r="A462" t="s">
        <v>617</v>
      </c>
      <c r="B462" s="1">
        <v>45939</v>
      </c>
      <c r="C462" s="7">
        <f>YEAR(Table2[[#This Row],[Date]])</f>
        <v>2025</v>
      </c>
      <c r="D462" t="s">
        <v>97</v>
      </c>
      <c r="E462" t="s">
        <v>72</v>
      </c>
      <c r="F462" t="s">
        <v>24</v>
      </c>
      <c r="G462" t="b">
        <v>1</v>
      </c>
      <c r="H462" s="10">
        <v>5</v>
      </c>
      <c r="I462" s="10">
        <v>4</v>
      </c>
      <c r="J462" t="s">
        <v>25</v>
      </c>
      <c r="K462" s="9">
        <v>51172</v>
      </c>
      <c r="L462" t="s">
        <v>151</v>
      </c>
      <c r="M462" t="s">
        <v>34</v>
      </c>
      <c r="N462" s="7">
        <v>61</v>
      </c>
      <c r="O462" s="10">
        <v>0</v>
      </c>
      <c r="P462" s="7">
        <v>0</v>
      </c>
      <c r="Q462" t="s">
        <v>46</v>
      </c>
      <c r="R462" s="9">
        <v>125917</v>
      </c>
      <c r="S462" s="10">
        <v>1.45</v>
      </c>
      <c r="T462" s="9">
        <v>122184.47</v>
      </c>
      <c r="U462" s="6">
        <v>58</v>
      </c>
      <c r="V462" t="s">
        <v>42</v>
      </c>
    </row>
    <row r="463" spans="1:22" x14ac:dyDescent="0.25">
      <c r="A463" t="s">
        <v>618</v>
      </c>
      <c r="B463" s="1">
        <v>45976</v>
      </c>
      <c r="C463" s="7">
        <f>YEAR(Table2[[#This Row],[Date]])</f>
        <v>2025</v>
      </c>
      <c r="D463" t="s">
        <v>97</v>
      </c>
      <c r="E463" t="s">
        <v>37</v>
      </c>
      <c r="F463" t="s">
        <v>24</v>
      </c>
      <c r="G463" t="b">
        <v>0</v>
      </c>
      <c r="H463" s="10">
        <v>1</v>
      </c>
      <c r="I463" s="10">
        <v>0</v>
      </c>
      <c r="J463" t="s">
        <v>25</v>
      </c>
      <c r="K463" s="9">
        <v>29778</v>
      </c>
      <c r="L463" t="s">
        <v>229</v>
      </c>
      <c r="M463" t="s">
        <v>34</v>
      </c>
      <c r="N463" s="7">
        <v>37</v>
      </c>
      <c r="O463" s="10">
        <v>0</v>
      </c>
      <c r="P463" s="7">
        <v>0</v>
      </c>
      <c r="Q463" t="s">
        <v>81</v>
      </c>
      <c r="R463" s="9">
        <v>30274</v>
      </c>
      <c r="S463" s="10">
        <v>2.3199999999999998</v>
      </c>
      <c r="T463" s="9">
        <v>7588.06</v>
      </c>
      <c r="U463" s="6">
        <v>28</v>
      </c>
      <c r="V463" t="s">
        <v>42</v>
      </c>
    </row>
    <row r="464" spans="1:22" x14ac:dyDescent="0.25">
      <c r="A464" t="s">
        <v>619</v>
      </c>
      <c r="B464" s="1">
        <v>45504</v>
      </c>
      <c r="C464" s="7">
        <f>YEAR(Table2[[#This Row],[Date]])</f>
        <v>2024</v>
      </c>
      <c r="D464" t="s">
        <v>36</v>
      </c>
      <c r="E464" t="s">
        <v>72</v>
      </c>
      <c r="F464" t="s">
        <v>24</v>
      </c>
      <c r="G464" t="b">
        <v>1</v>
      </c>
      <c r="H464" s="10">
        <v>3</v>
      </c>
      <c r="I464" s="10">
        <v>0</v>
      </c>
      <c r="J464" t="s">
        <v>25</v>
      </c>
      <c r="K464" s="9">
        <v>21088</v>
      </c>
      <c r="L464" t="s">
        <v>327</v>
      </c>
      <c r="M464" t="s">
        <v>34</v>
      </c>
      <c r="N464" s="7">
        <v>47</v>
      </c>
      <c r="O464" s="10">
        <v>1</v>
      </c>
      <c r="P464" s="7">
        <v>1</v>
      </c>
      <c r="Q464" t="s">
        <v>28</v>
      </c>
      <c r="R464" s="9">
        <v>12092</v>
      </c>
      <c r="S464" s="10">
        <v>8.82</v>
      </c>
      <c r="T464" s="9">
        <v>99192.3</v>
      </c>
      <c r="U464" s="6">
        <v>58</v>
      </c>
      <c r="V464" t="s">
        <v>152</v>
      </c>
    </row>
    <row r="465" spans="1:22" x14ac:dyDescent="0.25">
      <c r="A465" t="s">
        <v>620</v>
      </c>
      <c r="B465" s="1">
        <v>45495</v>
      </c>
      <c r="C465" s="7">
        <f>YEAR(Table2[[#This Row],[Date]])</f>
        <v>2024</v>
      </c>
      <c r="D465" t="s">
        <v>97</v>
      </c>
      <c r="E465" t="s">
        <v>32</v>
      </c>
      <c r="F465" t="s">
        <v>24</v>
      </c>
      <c r="G465" t="b">
        <v>0</v>
      </c>
      <c r="H465" s="10">
        <v>0</v>
      </c>
      <c r="I465" s="10">
        <v>1</v>
      </c>
      <c r="J465" t="s">
        <v>54</v>
      </c>
      <c r="K465" s="9">
        <v>32833</v>
      </c>
      <c r="L465" t="s">
        <v>358</v>
      </c>
      <c r="M465" t="s">
        <v>27</v>
      </c>
      <c r="N465" s="7">
        <v>83</v>
      </c>
      <c r="O465" s="10">
        <v>0</v>
      </c>
      <c r="P465" s="7">
        <v>2</v>
      </c>
      <c r="Q465" t="s">
        <v>81</v>
      </c>
      <c r="R465" s="9">
        <v>104625</v>
      </c>
      <c r="S465" s="10">
        <v>7.72</v>
      </c>
      <c r="T465" s="9">
        <v>150862.59</v>
      </c>
      <c r="U465" s="6">
        <v>45</v>
      </c>
      <c r="V465" t="s">
        <v>29</v>
      </c>
    </row>
    <row r="466" spans="1:22" x14ac:dyDescent="0.25">
      <c r="A466" t="s">
        <v>621</v>
      </c>
      <c r="B466" s="1">
        <v>45495</v>
      </c>
      <c r="C466" s="7">
        <f>YEAR(Table2[[#This Row],[Date]])</f>
        <v>2024</v>
      </c>
      <c r="D466" t="s">
        <v>89</v>
      </c>
      <c r="E466" t="s">
        <v>83</v>
      </c>
      <c r="F466" t="s">
        <v>38</v>
      </c>
      <c r="G466" t="b">
        <v>1</v>
      </c>
      <c r="H466" s="10">
        <v>0</v>
      </c>
      <c r="I466" s="10">
        <v>4</v>
      </c>
      <c r="J466" t="s">
        <v>54</v>
      </c>
      <c r="K466" s="9">
        <v>14281</v>
      </c>
      <c r="L466" t="s">
        <v>206</v>
      </c>
      <c r="M466" t="s">
        <v>34</v>
      </c>
      <c r="N466" s="7">
        <v>87</v>
      </c>
      <c r="O466" s="10">
        <v>1</v>
      </c>
      <c r="P466" s="7">
        <v>0</v>
      </c>
      <c r="Q466" t="s">
        <v>62</v>
      </c>
      <c r="R466" s="9">
        <v>26940</v>
      </c>
      <c r="S466" s="10">
        <v>6.45</v>
      </c>
      <c r="T466" s="9">
        <v>110127.43</v>
      </c>
      <c r="U466" s="6">
        <v>45</v>
      </c>
      <c r="V466" t="s">
        <v>29</v>
      </c>
    </row>
    <row r="467" spans="1:22" x14ac:dyDescent="0.25">
      <c r="A467" t="s">
        <v>622</v>
      </c>
      <c r="B467" s="1">
        <v>45884</v>
      </c>
      <c r="C467" s="7">
        <f>YEAR(Table2[[#This Row],[Date]])</f>
        <v>2025</v>
      </c>
      <c r="D467" t="s">
        <v>53</v>
      </c>
      <c r="E467" t="s">
        <v>32</v>
      </c>
      <c r="F467" t="s">
        <v>24</v>
      </c>
      <c r="G467" t="b">
        <v>1</v>
      </c>
      <c r="H467" s="10">
        <v>4</v>
      </c>
      <c r="I467" s="10">
        <v>4</v>
      </c>
      <c r="J467" t="s">
        <v>39</v>
      </c>
      <c r="K467" s="9">
        <v>32722</v>
      </c>
      <c r="L467" t="s">
        <v>141</v>
      </c>
      <c r="M467" t="s">
        <v>61</v>
      </c>
      <c r="N467" s="7">
        <v>17</v>
      </c>
      <c r="O467" s="10">
        <v>0</v>
      </c>
      <c r="P467" s="7">
        <v>0</v>
      </c>
      <c r="Q467" t="s">
        <v>81</v>
      </c>
      <c r="R467" s="9">
        <v>109026</v>
      </c>
      <c r="S467" s="10">
        <v>5.45</v>
      </c>
      <c r="T467" s="9">
        <v>107719.89</v>
      </c>
      <c r="U467" s="6">
        <v>24</v>
      </c>
      <c r="V467" t="s">
        <v>42</v>
      </c>
    </row>
    <row r="468" spans="1:22" x14ac:dyDescent="0.25">
      <c r="A468" t="s">
        <v>623</v>
      </c>
      <c r="B468" s="1">
        <v>45745</v>
      </c>
      <c r="C468" s="7">
        <f>YEAR(Table2[[#This Row],[Date]])</f>
        <v>2025</v>
      </c>
      <c r="D468" t="s">
        <v>89</v>
      </c>
      <c r="E468" t="s">
        <v>72</v>
      </c>
      <c r="F468" t="s">
        <v>24</v>
      </c>
      <c r="G468" t="b">
        <v>1</v>
      </c>
      <c r="H468" s="10">
        <v>5</v>
      </c>
      <c r="I468" s="10">
        <v>0</v>
      </c>
      <c r="J468" t="s">
        <v>25</v>
      </c>
      <c r="K468" s="9">
        <v>46818</v>
      </c>
      <c r="L468" t="s">
        <v>115</v>
      </c>
      <c r="M468" t="s">
        <v>34</v>
      </c>
      <c r="N468" s="7">
        <v>10</v>
      </c>
      <c r="O468" s="10">
        <v>1</v>
      </c>
      <c r="P468" s="7">
        <v>0</v>
      </c>
      <c r="Q468" t="s">
        <v>87</v>
      </c>
      <c r="R468" s="9">
        <v>81336</v>
      </c>
      <c r="S468" s="10">
        <v>7.1</v>
      </c>
      <c r="T468" s="9">
        <v>172269.76</v>
      </c>
      <c r="U468" s="6">
        <v>60</v>
      </c>
      <c r="V468" t="s">
        <v>42</v>
      </c>
    </row>
    <row r="469" spans="1:22" x14ac:dyDescent="0.25">
      <c r="A469" t="s">
        <v>624</v>
      </c>
      <c r="B469" s="1">
        <v>45783</v>
      </c>
      <c r="C469" s="7">
        <f>YEAR(Table2[[#This Row],[Date]])</f>
        <v>2025</v>
      </c>
      <c r="D469" t="s">
        <v>31</v>
      </c>
      <c r="E469" t="s">
        <v>66</v>
      </c>
      <c r="F469" t="s">
        <v>44</v>
      </c>
      <c r="G469" t="b">
        <v>1</v>
      </c>
      <c r="H469" s="10">
        <v>5</v>
      </c>
      <c r="I469" s="10">
        <v>4</v>
      </c>
      <c r="J469" t="s">
        <v>25</v>
      </c>
      <c r="K469" s="9">
        <v>33954</v>
      </c>
      <c r="L469" t="s">
        <v>105</v>
      </c>
      <c r="M469" t="s">
        <v>61</v>
      </c>
      <c r="N469" s="7">
        <v>84</v>
      </c>
      <c r="O469" s="10">
        <v>0</v>
      </c>
      <c r="P469" s="7">
        <v>0</v>
      </c>
      <c r="Q469" t="s">
        <v>46</v>
      </c>
      <c r="R469" s="9">
        <v>56636</v>
      </c>
      <c r="S469" s="10">
        <v>6.59</v>
      </c>
      <c r="T469" s="9">
        <v>139080.57</v>
      </c>
      <c r="U469" s="6">
        <v>23</v>
      </c>
      <c r="V469" t="s">
        <v>42</v>
      </c>
    </row>
    <row r="470" spans="1:22" x14ac:dyDescent="0.25">
      <c r="A470" t="s">
        <v>625</v>
      </c>
      <c r="B470" s="1">
        <v>45781</v>
      </c>
      <c r="C470" s="7">
        <f>YEAR(Table2[[#This Row],[Date]])</f>
        <v>2025</v>
      </c>
      <c r="D470" t="s">
        <v>69</v>
      </c>
      <c r="E470" t="s">
        <v>83</v>
      </c>
      <c r="F470" t="s">
        <v>24</v>
      </c>
      <c r="G470" t="b">
        <v>0</v>
      </c>
      <c r="H470" s="10">
        <v>3</v>
      </c>
      <c r="I470" s="10">
        <v>2</v>
      </c>
      <c r="J470" t="s">
        <v>25</v>
      </c>
      <c r="K470" s="9">
        <v>47724</v>
      </c>
      <c r="L470" t="s">
        <v>244</v>
      </c>
      <c r="M470" t="s">
        <v>34</v>
      </c>
      <c r="N470" s="7">
        <v>15</v>
      </c>
      <c r="O470" s="10">
        <v>2</v>
      </c>
      <c r="P470" s="7">
        <v>0</v>
      </c>
      <c r="Q470" t="s">
        <v>87</v>
      </c>
      <c r="R470" s="9">
        <v>59130</v>
      </c>
      <c r="S470" s="10">
        <v>6.31</v>
      </c>
      <c r="T470" s="9">
        <v>110609.49</v>
      </c>
      <c r="U470" s="6">
        <v>61</v>
      </c>
      <c r="V470" t="s">
        <v>29</v>
      </c>
    </row>
    <row r="471" spans="1:22" x14ac:dyDescent="0.25">
      <c r="A471" t="s">
        <v>626</v>
      </c>
      <c r="B471" s="1">
        <v>45636</v>
      </c>
      <c r="C471" s="7">
        <f>YEAR(Table2[[#This Row],[Date]])</f>
        <v>2024</v>
      </c>
      <c r="D471" t="s">
        <v>53</v>
      </c>
      <c r="E471" t="s">
        <v>72</v>
      </c>
      <c r="F471" t="s">
        <v>44</v>
      </c>
      <c r="G471" t="b">
        <v>1</v>
      </c>
      <c r="H471" s="10">
        <v>0</v>
      </c>
      <c r="I471" s="10">
        <v>3</v>
      </c>
      <c r="J471" t="s">
        <v>54</v>
      </c>
      <c r="K471" s="9">
        <v>32681</v>
      </c>
      <c r="L471" t="s">
        <v>285</v>
      </c>
      <c r="M471" t="s">
        <v>27</v>
      </c>
      <c r="N471" s="7">
        <v>23</v>
      </c>
      <c r="O471" s="10">
        <v>0</v>
      </c>
      <c r="P471" s="7">
        <v>1</v>
      </c>
      <c r="Q471" t="s">
        <v>87</v>
      </c>
      <c r="R471" s="9">
        <v>32918</v>
      </c>
      <c r="S471" s="10">
        <v>5.94</v>
      </c>
      <c r="T471" s="9">
        <v>81126.19</v>
      </c>
      <c r="U471" s="6">
        <v>45</v>
      </c>
      <c r="V471" t="s">
        <v>29</v>
      </c>
    </row>
    <row r="472" spans="1:22" x14ac:dyDescent="0.25">
      <c r="A472" t="s">
        <v>627</v>
      </c>
      <c r="B472" s="1">
        <v>45741</v>
      </c>
      <c r="C472" s="7">
        <f>YEAR(Table2[[#This Row],[Date]])</f>
        <v>2025</v>
      </c>
      <c r="D472" t="s">
        <v>77</v>
      </c>
      <c r="E472" t="s">
        <v>72</v>
      </c>
      <c r="F472" t="s">
        <v>38</v>
      </c>
      <c r="G472" t="b">
        <v>1</v>
      </c>
      <c r="H472" s="10">
        <v>0</v>
      </c>
      <c r="I472" s="10">
        <v>3</v>
      </c>
      <c r="J472" t="s">
        <v>54</v>
      </c>
      <c r="K472" s="9">
        <v>37423</v>
      </c>
      <c r="L472" t="s">
        <v>174</v>
      </c>
      <c r="M472" t="s">
        <v>61</v>
      </c>
      <c r="N472" s="7">
        <v>19</v>
      </c>
      <c r="O472" s="10">
        <v>1</v>
      </c>
      <c r="P472" s="7">
        <v>2</v>
      </c>
      <c r="Q472" t="s">
        <v>62</v>
      </c>
      <c r="R472" s="9">
        <v>85535</v>
      </c>
      <c r="S472" s="10">
        <v>4.1100000000000003</v>
      </c>
      <c r="T472" s="9">
        <v>85846.11</v>
      </c>
      <c r="U472" s="6">
        <v>18</v>
      </c>
      <c r="V472" t="s">
        <v>42</v>
      </c>
    </row>
    <row r="473" spans="1:22" x14ac:dyDescent="0.25">
      <c r="A473" t="s">
        <v>628</v>
      </c>
      <c r="B473" s="1">
        <v>45769</v>
      </c>
      <c r="C473" s="7">
        <f>YEAR(Table2[[#This Row],[Date]])</f>
        <v>2025</v>
      </c>
      <c r="D473" t="s">
        <v>89</v>
      </c>
      <c r="E473" t="s">
        <v>98</v>
      </c>
      <c r="F473" t="s">
        <v>38</v>
      </c>
      <c r="G473" t="b">
        <v>0</v>
      </c>
      <c r="H473" s="10">
        <v>2</v>
      </c>
      <c r="I473" s="10">
        <v>1</v>
      </c>
      <c r="J473" t="s">
        <v>25</v>
      </c>
      <c r="K473" s="9">
        <v>5429</v>
      </c>
      <c r="L473" t="s">
        <v>133</v>
      </c>
      <c r="M473" t="s">
        <v>34</v>
      </c>
      <c r="N473" s="7">
        <v>95</v>
      </c>
      <c r="O473" s="10">
        <v>2</v>
      </c>
      <c r="P473" s="7">
        <v>2</v>
      </c>
      <c r="Q473" t="s">
        <v>87</v>
      </c>
      <c r="R473" s="9">
        <v>121231</v>
      </c>
      <c r="S473" s="10">
        <v>6.55</v>
      </c>
      <c r="T473" s="9">
        <v>182803.02</v>
      </c>
      <c r="U473" s="6">
        <v>48</v>
      </c>
      <c r="V473" t="s">
        <v>42</v>
      </c>
    </row>
    <row r="474" spans="1:22" x14ac:dyDescent="0.25">
      <c r="A474" t="s">
        <v>629</v>
      </c>
      <c r="B474" s="1">
        <v>45553</v>
      </c>
      <c r="C474" s="7">
        <f>YEAR(Table2[[#This Row],[Date]])</f>
        <v>2024</v>
      </c>
      <c r="D474" t="s">
        <v>89</v>
      </c>
      <c r="E474" t="s">
        <v>48</v>
      </c>
      <c r="F474" t="s">
        <v>24</v>
      </c>
      <c r="G474" t="b">
        <v>1</v>
      </c>
      <c r="H474" s="10">
        <v>3</v>
      </c>
      <c r="I474" s="10">
        <v>1</v>
      </c>
      <c r="J474" t="s">
        <v>25</v>
      </c>
      <c r="K474" s="9">
        <v>5915</v>
      </c>
      <c r="L474" t="s">
        <v>84</v>
      </c>
      <c r="M474" t="s">
        <v>50</v>
      </c>
      <c r="N474" s="7">
        <v>56</v>
      </c>
      <c r="O474" s="10">
        <v>0</v>
      </c>
      <c r="P474" s="7">
        <v>0</v>
      </c>
      <c r="Q474" t="s">
        <v>87</v>
      </c>
      <c r="R474" s="9">
        <v>128632</v>
      </c>
      <c r="S474" s="10">
        <v>4.75</v>
      </c>
      <c r="T474" s="9">
        <v>97965.56</v>
      </c>
      <c r="U474" s="6">
        <v>43</v>
      </c>
      <c r="V474" t="s">
        <v>29</v>
      </c>
    </row>
    <row r="475" spans="1:22" x14ac:dyDescent="0.25">
      <c r="A475" t="s">
        <v>630</v>
      </c>
      <c r="B475" s="1">
        <v>45336</v>
      </c>
      <c r="C475" s="7">
        <f>YEAR(Table2[[#This Row],[Date]])</f>
        <v>2024</v>
      </c>
      <c r="D475" t="s">
        <v>97</v>
      </c>
      <c r="E475" t="s">
        <v>98</v>
      </c>
      <c r="F475" t="s">
        <v>24</v>
      </c>
      <c r="G475" t="b">
        <v>0</v>
      </c>
      <c r="H475" s="10">
        <v>4</v>
      </c>
      <c r="I475" s="10">
        <v>3</v>
      </c>
      <c r="J475" t="s">
        <v>25</v>
      </c>
      <c r="K475" s="9">
        <v>13194</v>
      </c>
      <c r="L475" t="s">
        <v>192</v>
      </c>
      <c r="M475" t="s">
        <v>50</v>
      </c>
      <c r="N475" s="7">
        <v>18</v>
      </c>
      <c r="O475" s="10">
        <v>0</v>
      </c>
      <c r="P475" s="7">
        <v>0</v>
      </c>
      <c r="Q475" t="s">
        <v>28</v>
      </c>
      <c r="R475" s="9">
        <v>18906</v>
      </c>
      <c r="S475" s="10">
        <v>6.41</v>
      </c>
      <c r="T475" s="9">
        <v>133661.07</v>
      </c>
      <c r="U475" s="6">
        <v>38</v>
      </c>
      <c r="V475" t="s">
        <v>42</v>
      </c>
    </row>
    <row r="476" spans="1:22" x14ac:dyDescent="0.25">
      <c r="A476" t="s">
        <v>631</v>
      </c>
      <c r="B476" s="1">
        <v>45711</v>
      </c>
      <c r="C476" s="7">
        <f>YEAR(Table2[[#This Row],[Date]])</f>
        <v>2025</v>
      </c>
      <c r="D476" t="s">
        <v>69</v>
      </c>
      <c r="E476" t="s">
        <v>23</v>
      </c>
      <c r="F476" t="s">
        <v>24</v>
      </c>
      <c r="G476" t="b">
        <v>1</v>
      </c>
      <c r="H476" s="10">
        <v>5</v>
      </c>
      <c r="I476" s="10">
        <v>1</v>
      </c>
      <c r="J476" t="s">
        <v>25</v>
      </c>
      <c r="K476" s="9">
        <v>26977</v>
      </c>
      <c r="L476" t="s">
        <v>261</v>
      </c>
      <c r="M476" t="s">
        <v>27</v>
      </c>
      <c r="N476" s="7">
        <v>94</v>
      </c>
      <c r="O476" s="10">
        <v>0</v>
      </c>
      <c r="P476" s="7">
        <v>0</v>
      </c>
      <c r="Q476" t="s">
        <v>62</v>
      </c>
      <c r="R476" s="9">
        <v>7010</v>
      </c>
      <c r="S476" s="10">
        <v>6.87</v>
      </c>
      <c r="T476" s="9">
        <v>222656.81</v>
      </c>
      <c r="U476" s="6">
        <v>44</v>
      </c>
      <c r="V476" t="s">
        <v>42</v>
      </c>
    </row>
    <row r="477" spans="1:22" x14ac:dyDescent="0.25">
      <c r="A477" t="s">
        <v>632</v>
      </c>
      <c r="B477" s="1">
        <v>45599</v>
      </c>
      <c r="C477" s="7">
        <f>YEAR(Table2[[#This Row],[Date]])</f>
        <v>2024</v>
      </c>
      <c r="D477" t="s">
        <v>36</v>
      </c>
      <c r="E477" t="s">
        <v>32</v>
      </c>
      <c r="F477" t="s">
        <v>38</v>
      </c>
      <c r="G477" t="b">
        <v>0</v>
      </c>
      <c r="H477" s="10">
        <v>3</v>
      </c>
      <c r="I477" s="10">
        <v>4</v>
      </c>
      <c r="J477" t="s">
        <v>54</v>
      </c>
      <c r="K477" s="9">
        <v>34400</v>
      </c>
      <c r="L477" t="s">
        <v>84</v>
      </c>
      <c r="M477" t="s">
        <v>50</v>
      </c>
      <c r="N477" s="7">
        <v>80</v>
      </c>
      <c r="O477" s="10">
        <v>1</v>
      </c>
      <c r="P477" s="7">
        <v>0</v>
      </c>
      <c r="Q477" t="s">
        <v>87</v>
      </c>
      <c r="R477" s="9">
        <v>15410</v>
      </c>
      <c r="S477" s="10">
        <v>3.21</v>
      </c>
      <c r="T477" s="9">
        <v>220780.81</v>
      </c>
      <c r="U477" s="6">
        <v>34</v>
      </c>
      <c r="V477" t="s">
        <v>152</v>
      </c>
    </row>
    <row r="478" spans="1:22" x14ac:dyDescent="0.25">
      <c r="A478" t="s">
        <v>633</v>
      </c>
      <c r="B478" s="1">
        <v>45962</v>
      </c>
      <c r="C478" s="7">
        <f>YEAR(Table2[[#This Row],[Date]])</f>
        <v>2025</v>
      </c>
      <c r="D478" t="s">
        <v>69</v>
      </c>
      <c r="E478" t="s">
        <v>48</v>
      </c>
      <c r="F478" t="s">
        <v>38</v>
      </c>
      <c r="G478" t="b">
        <v>0</v>
      </c>
      <c r="H478" s="10">
        <v>4</v>
      </c>
      <c r="I478" s="10">
        <v>1</v>
      </c>
      <c r="J478" t="s">
        <v>25</v>
      </c>
      <c r="K478" s="9">
        <v>28133</v>
      </c>
      <c r="L478" t="s">
        <v>285</v>
      </c>
      <c r="M478" t="s">
        <v>50</v>
      </c>
      <c r="N478" s="7">
        <v>17</v>
      </c>
      <c r="O478" s="10">
        <v>0</v>
      </c>
      <c r="P478" s="7">
        <v>0</v>
      </c>
      <c r="Q478" t="s">
        <v>41</v>
      </c>
      <c r="R478" s="9">
        <v>53766</v>
      </c>
      <c r="S478" s="10">
        <v>7.37</v>
      </c>
      <c r="T478" s="9">
        <v>151769.79999999999</v>
      </c>
      <c r="U478" s="6">
        <v>43</v>
      </c>
      <c r="V478" t="s">
        <v>42</v>
      </c>
    </row>
    <row r="479" spans="1:22" x14ac:dyDescent="0.25">
      <c r="A479" t="s">
        <v>634</v>
      </c>
      <c r="B479" s="1">
        <v>45428</v>
      </c>
      <c r="C479" s="7">
        <f>YEAR(Table2[[#This Row],[Date]])</f>
        <v>2024</v>
      </c>
      <c r="D479" t="s">
        <v>97</v>
      </c>
      <c r="E479" t="s">
        <v>37</v>
      </c>
      <c r="F479" t="s">
        <v>44</v>
      </c>
      <c r="G479" t="b">
        <v>0</v>
      </c>
      <c r="H479" s="10">
        <v>1</v>
      </c>
      <c r="I479" s="10">
        <v>2</v>
      </c>
      <c r="J479" t="s">
        <v>54</v>
      </c>
      <c r="K479" s="9">
        <v>29142</v>
      </c>
      <c r="L479" t="s">
        <v>229</v>
      </c>
      <c r="M479" t="s">
        <v>50</v>
      </c>
      <c r="N479" s="7">
        <v>25</v>
      </c>
      <c r="O479" s="10">
        <v>2</v>
      </c>
      <c r="P479" s="7">
        <v>2</v>
      </c>
      <c r="Q479" t="s">
        <v>28</v>
      </c>
      <c r="R479" s="9">
        <v>57590</v>
      </c>
      <c r="S479" s="10">
        <v>2.97</v>
      </c>
      <c r="T479" s="9">
        <v>199462.19</v>
      </c>
      <c r="U479" s="6">
        <v>34</v>
      </c>
      <c r="V479" t="s">
        <v>42</v>
      </c>
    </row>
    <row r="480" spans="1:22" x14ac:dyDescent="0.25">
      <c r="A480" t="s">
        <v>635</v>
      </c>
      <c r="B480" s="1">
        <v>45687</v>
      </c>
      <c r="C480" s="7">
        <f>YEAR(Table2[[#This Row],[Date]])</f>
        <v>2025</v>
      </c>
      <c r="D480" t="s">
        <v>89</v>
      </c>
      <c r="E480" t="s">
        <v>32</v>
      </c>
      <c r="F480" t="s">
        <v>24</v>
      </c>
      <c r="G480" t="b">
        <v>1</v>
      </c>
      <c r="H480" s="10">
        <v>2</v>
      </c>
      <c r="I480" s="10">
        <v>1</v>
      </c>
      <c r="J480" t="s">
        <v>25</v>
      </c>
      <c r="K480" s="9">
        <v>28357</v>
      </c>
      <c r="L480" t="s">
        <v>124</v>
      </c>
      <c r="M480" t="s">
        <v>61</v>
      </c>
      <c r="N480" s="7">
        <v>19</v>
      </c>
      <c r="O480" s="10">
        <v>1</v>
      </c>
      <c r="P480" s="7">
        <v>0</v>
      </c>
      <c r="Q480" t="s">
        <v>28</v>
      </c>
      <c r="R480" s="9">
        <v>107761</v>
      </c>
      <c r="S480" s="10">
        <v>9.4</v>
      </c>
      <c r="T480" s="9">
        <v>190315.56</v>
      </c>
      <c r="U480" s="6">
        <v>40</v>
      </c>
      <c r="V480" t="s">
        <v>42</v>
      </c>
    </row>
    <row r="481" spans="1:22" x14ac:dyDescent="0.25">
      <c r="A481" t="s">
        <v>636</v>
      </c>
      <c r="B481" s="1">
        <v>45474</v>
      </c>
      <c r="C481" s="7">
        <f>YEAR(Table2[[#This Row],[Date]])</f>
        <v>2024</v>
      </c>
      <c r="D481" t="s">
        <v>69</v>
      </c>
      <c r="E481" t="s">
        <v>37</v>
      </c>
      <c r="F481" t="s">
        <v>24</v>
      </c>
      <c r="G481" t="b">
        <v>1</v>
      </c>
      <c r="H481" s="10">
        <v>0</v>
      </c>
      <c r="I481" s="10">
        <v>3</v>
      </c>
      <c r="J481" t="s">
        <v>54</v>
      </c>
      <c r="K481" s="9">
        <v>10799</v>
      </c>
      <c r="L481" t="s">
        <v>159</v>
      </c>
      <c r="M481" t="s">
        <v>34</v>
      </c>
      <c r="N481" s="7">
        <v>86</v>
      </c>
      <c r="O481" s="10">
        <v>1</v>
      </c>
      <c r="P481" s="7">
        <v>1</v>
      </c>
      <c r="Q481" t="s">
        <v>51</v>
      </c>
      <c r="R481" s="9">
        <v>78644</v>
      </c>
      <c r="S481" s="10">
        <v>2.2599999999999998</v>
      </c>
      <c r="T481" s="9">
        <v>82817.3</v>
      </c>
      <c r="U481" s="6">
        <v>64</v>
      </c>
      <c r="V481" t="s">
        <v>42</v>
      </c>
    </row>
    <row r="482" spans="1:22" x14ac:dyDescent="0.25">
      <c r="A482" t="s">
        <v>637</v>
      </c>
      <c r="B482" s="1">
        <v>45355</v>
      </c>
      <c r="C482" s="7">
        <f>YEAR(Table2[[#This Row],[Date]])</f>
        <v>2024</v>
      </c>
      <c r="D482" t="s">
        <v>89</v>
      </c>
      <c r="E482" t="s">
        <v>72</v>
      </c>
      <c r="F482" t="s">
        <v>44</v>
      </c>
      <c r="G482" t="b">
        <v>1</v>
      </c>
      <c r="H482" s="10">
        <v>3</v>
      </c>
      <c r="I482" s="10">
        <v>4</v>
      </c>
      <c r="J482" t="s">
        <v>54</v>
      </c>
      <c r="K482" s="9">
        <v>17271</v>
      </c>
      <c r="L482" t="s">
        <v>163</v>
      </c>
      <c r="M482" t="s">
        <v>61</v>
      </c>
      <c r="N482" s="7">
        <v>39</v>
      </c>
      <c r="O482" s="10">
        <v>2</v>
      </c>
      <c r="P482" s="7">
        <v>1</v>
      </c>
      <c r="Q482" t="s">
        <v>81</v>
      </c>
      <c r="R482" s="9">
        <v>105760</v>
      </c>
      <c r="S482" s="10">
        <v>7.95</v>
      </c>
      <c r="T482" s="9">
        <v>205863.32</v>
      </c>
      <c r="U482" s="6">
        <v>42</v>
      </c>
      <c r="V482" t="s">
        <v>42</v>
      </c>
    </row>
    <row r="483" spans="1:22" x14ac:dyDescent="0.25">
      <c r="A483" t="s">
        <v>638</v>
      </c>
      <c r="B483" s="1">
        <v>45558</v>
      </c>
      <c r="C483" s="7">
        <f>YEAR(Table2[[#This Row],[Date]])</f>
        <v>2024</v>
      </c>
      <c r="D483" t="s">
        <v>77</v>
      </c>
      <c r="E483" t="s">
        <v>48</v>
      </c>
      <c r="F483" t="s">
        <v>24</v>
      </c>
      <c r="G483" t="b">
        <v>1</v>
      </c>
      <c r="H483" s="10">
        <v>1</v>
      </c>
      <c r="I483" s="10">
        <v>3</v>
      </c>
      <c r="J483" t="s">
        <v>54</v>
      </c>
      <c r="K483" s="9">
        <v>46097</v>
      </c>
      <c r="L483" t="s">
        <v>33</v>
      </c>
      <c r="M483" t="s">
        <v>50</v>
      </c>
      <c r="N483" s="7">
        <v>37</v>
      </c>
      <c r="O483" s="10">
        <v>2</v>
      </c>
      <c r="P483" s="7">
        <v>1</v>
      </c>
      <c r="Q483" t="s">
        <v>46</v>
      </c>
      <c r="R483" s="9">
        <v>836</v>
      </c>
      <c r="S483" s="10">
        <v>5.05</v>
      </c>
      <c r="T483" s="9">
        <v>47539.79</v>
      </c>
      <c r="U483" s="6">
        <v>45</v>
      </c>
      <c r="V483" t="s">
        <v>29</v>
      </c>
    </row>
    <row r="484" spans="1:22" x14ac:dyDescent="0.25">
      <c r="A484" t="s">
        <v>639</v>
      </c>
      <c r="B484" s="1">
        <v>45740</v>
      </c>
      <c r="C484" s="7">
        <f>YEAR(Table2[[#This Row],[Date]])</f>
        <v>2025</v>
      </c>
      <c r="D484" t="s">
        <v>36</v>
      </c>
      <c r="E484" t="s">
        <v>98</v>
      </c>
      <c r="F484" t="s">
        <v>24</v>
      </c>
      <c r="G484" t="b">
        <v>0</v>
      </c>
      <c r="H484" s="10">
        <v>5</v>
      </c>
      <c r="I484" s="10">
        <v>4</v>
      </c>
      <c r="J484" t="s">
        <v>25</v>
      </c>
      <c r="K484" s="9">
        <v>43479</v>
      </c>
      <c r="L484" t="s">
        <v>366</v>
      </c>
      <c r="M484" t="s">
        <v>27</v>
      </c>
      <c r="N484" s="7">
        <v>80</v>
      </c>
      <c r="O484" s="10">
        <v>2</v>
      </c>
      <c r="P484" s="7">
        <v>1</v>
      </c>
      <c r="Q484" t="s">
        <v>81</v>
      </c>
      <c r="R484" s="9">
        <v>72441</v>
      </c>
      <c r="S484" s="10">
        <v>5.24</v>
      </c>
      <c r="T484" s="9">
        <v>174788.7</v>
      </c>
      <c r="U484" s="6">
        <v>54</v>
      </c>
      <c r="V484" t="s">
        <v>42</v>
      </c>
    </row>
    <row r="485" spans="1:22" x14ac:dyDescent="0.25">
      <c r="A485" t="s">
        <v>640</v>
      </c>
      <c r="B485" s="1">
        <v>45784</v>
      </c>
      <c r="C485" s="7">
        <f>YEAR(Table2[[#This Row],[Date]])</f>
        <v>2025</v>
      </c>
      <c r="D485" t="s">
        <v>69</v>
      </c>
      <c r="E485" t="s">
        <v>32</v>
      </c>
      <c r="F485" t="s">
        <v>38</v>
      </c>
      <c r="G485" t="b">
        <v>1</v>
      </c>
      <c r="H485" s="10">
        <v>0</v>
      </c>
      <c r="I485" s="10">
        <v>0</v>
      </c>
      <c r="J485" t="s">
        <v>39</v>
      </c>
      <c r="K485" s="9">
        <v>44778</v>
      </c>
      <c r="L485" t="s">
        <v>107</v>
      </c>
      <c r="M485" t="s">
        <v>50</v>
      </c>
      <c r="N485" s="7">
        <v>26</v>
      </c>
      <c r="O485" s="10">
        <v>0</v>
      </c>
      <c r="P485" s="7">
        <v>0</v>
      </c>
      <c r="Q485" t="s">
        <v>81</v>
      </c>
      <c r="R485" s="9">
        <v>107708</v>
      </c>
      <c r="S485" s="10">
        <v>1.73</v>
      </c>
      <c r="T485" s="9">
        <v>166202.68</v>
      </c>
      <c r="U485" s="6">
        <v>45</v>
      </c>
      <c r="V485" t="s">
        <v>42</v>
      </c>
    </row>
    <row r="486" spans="1:22" x14ac:dyDescent="0.25">
      <c r="A486" t="s">
        <v>641</v>
      </c>
      <c r="B486" s="1">
        <v>45885</v>
      </c>
      <c r="C486" s="7">
        <f>YEAR(Table2[[#This Row],[Date]])</f>
        <v>2025</v>
      </c>
      <c r="D486" t="s">
        <v>89</v>
      </c>
      <c r="E486" t="s">
        <v>23</v>
      </c>
      <c r="F486" t="s">
        <v>44</v>
      </c>
      <c r="G486" t="b">
        <v>1</v>
      </c>
      <c r="H486" s="10">
        <v>3</v>
      </c>
      <c r="I486" s="10">
        <v>0</v>
      </c>
      <c r="J486" t="s">
        <v>25</v>
      </c>
      <c r="K486" s="9">
        <v>21885</v>
      </c>
      <c r="L486" t="s">
        <v>163</v>
      </c>
      <c r="M486" t="s">
        <v>61</v>
      </c>
      <c r="N486" s="7">
        <v>77</v>
      </c>
      <c r="O486" s="10">
        <v>0</v>
      </c>
      <c r="P486" s="7">
        <v>2</v>
      </c>
      <c r="Q486" t="s">
        <v>41</v>
      </c>
      <c r="R486" s="9">
        <v>122330</v>
      </c>
      <c r="S486" s="10">
        <v>5.72</v>
      </c>
      <c r="T486" s="9">
        <v>103219.04</v>
      </c>
      <c r="U486" s="6">
        <v>53</v>
      </c>
      <c r="V486" t="s">
        <v>42</v>
      </c>
    </row>
    <row r="487" spans="1:22" x14ac:dyDescent="0.25">
      <c r="A487" t="s">
        <v>642</v>
      </c>
      <c r="B487" s="1">
        <v>45356</v>
      </c>
      <c r="C487" s="7">
        <f>YEAR(Table2[[#This Row],[Date]])</f>
        <v>2024</v>
      </c>
      <c r="D487" t="s">
        <v>22</v>
      </c>
      <c r="E487" t="s">
        <v>72</v>
      </c>
      <c r="F487" t="s">
        <v>38</v>
      </c>
      <c r="G487" t="b">
        <v>1</v>
      </c>
      <c r="H487" s="10">
        <v>0</v>
      </c>
      <c r="I487" s="10">
        <v>0</v>
      </c>
      <c r="J487" t="s">
        <v>39</v>
      </c>
      <c r="K487" s="9">
        <v>25885</v>
      </c>
      <c r="L487" t="s">
        <v>306</v>
      </c>
      <c r="M487" t="s">
        <v>34</v>
      </c>
      <c r="N487" s="7">
        <v>40</v>
      </c>
      <c r="O487" s="10">
        <v>1</v>
      </c>
      <c r="P487" s="7">
        <v>2</v>
      </c>
      <c r="Q487" t="s">
        <v>81</v>
      </c>
      <c r="R487" s="9">
        <v>144937</v>
      </c>
      <c r="S487" s="10">
        <v>6.37</v>
      </c>
      <c r="T487" s="9">
        <v>42623.44</v>
      </c>
      <c r="U487" s="6">
        <v>35</v>
      </c>
      <c r="V487" t="s">
        <v>42</v>
      </c>
    </row>
    <row r="488" spans="1:22" x14ac:dyDescent="0.25">
      <c r="A488" t="s">
        <v>643</v>
      </c>
      <c r="B488" s="1">
        <v>45454</v>
      </c>
      <c r="C488" s="7">
        <f>YEAR(Table2[[#This Row],[Date]])</f>
        <v>2024</v>
      </c>
      <c r="D488" t="s">
        <v>97</v>
      </c>
      <c r="E488" t="s">
        <v>32</v>
      </c>
      <c r="F488" t="s">
        <v>24</v>
      </c>
      <c r="G488" t="b">
        <v>0</v>
      </c>
      <c r="H488" s="10">
        <v>1</v>
      </c>
      <c r="I488" s="10">
        <v>2</v>
      </c>
      <c r="J488" t="s">
        <v>54</v>
      </c>
      <c r="K488" s="9">
        <v>38201</v>
      </c>
      <c r="L488" t="s">
        <v>124</v>
      </c>
      <c r="M488" t="s">
        <v>34</v>
      </c>
      <c r="N488" s="7">
        <v>14</v>
      </c>
      <c r="O488" s="10">
        <v>0</v>
      </c>
      <c r="P488" s="7">
        <v>0</v>
      </c>
      <c r="Q488" t="s">
        <v>62</v>
      </c>
      <c r="R488" s="9">
        <v>147568</v>
      </c>
      <c r="S488" s="10">
        <v>6.17</v>
      </c>
      <c r="T488" s="9">
        <v>241651.43</v>
      </c>
      <c r="U488" s="6">
        <v>20</v>
      </c>
      <c r="V488" t="s">
        <v>42</v>
      </c>
    </row>
    <row r="489" spans="1:22" x14ac:dyDescent="0.25">
      <c r="A489" t="s">
        <v>644</v>
      </c>
      <c r="B489" s="1">
        <v>45740</v>
      </c>
      <c r="C489" s="7">
        <f>YEAR(Table2[[#This Row],[Date]])</f>
        <v>2025</v>
      </c>
      <c r="D489" t="s">
        <v>89</v>
      </c>
      <c r="E489" t="s">
        <v>23</v>
      </c>
      <c r="F489" t="s">
        <v>38</v>
      </c>
      <c r="G489" t="b">
        <v>1</v>
      </c>
      <c r="H489" s="10">
        <v>0</v>
      </c>
      <c r="I489" s="10">
        <v>4</v>
      </c>
      <c r="J489" t="s">
        <v>54</v>
      </c>
      <c r="K489" s="9">
        <v>48641</v>
      </c>
      <c r="L489" t="s">
        <v>362</v>
      </c>
      <c r="M489" t="s">
        <v>34</v>
      </c>
      <c r="N489" s="7">
        <v>33</v>
      </c>
      <c r="O489" s="10">
        <v>0</v>
      </c>
      <c r="P489" s="7">
        <v>1</v>
      </c>
      <c r="Q489" t="s">
        <v>28</v>
      </c>
      <c r="R489" s="9">
        <v>22754</v>
      </c>
      <c r="S489" s="10">
        <v>5.89</v>
      </c>
      <c r="T489" s="9">
        <v>16126.7</v>
      </c>
      <c r="U489" s="6">
        <v>64</v>
      </c>
      <c r="V489" t="s">
        <v>42</v>
      </c>
    </row>
    <row r="490" spans="1:22" x14ac:dyDescent="0.25">
      <c r="A490" t="s">
        <v>645</v>
      </c>
      <c r="B490" s="1">
        <v>45376</v>
      </c>
      <c r="C490" s="7">
        <f>YEAR(Table2[[#This Row],[Date]])</f>
        <v>2024</v>
      </c>
      <c r="D490" t="s">
        <v>53</v>
      </c>
      <c r="E490" t="s">
        <v>32</v>
      </c>
      <c r="F490" t="s">
        <v>44</v>
      </c>
      <c r="G490" t="b">
        <v>0</v>
      </c>
      <c r="H490" s="10">
        <v>3</v>
      </c>
      <c r="I490" s="10">
        <v>2</v>
      </c>
      <c r="J490" t="s">
        <v>25</v>
      </c>
      <c r="K490" s="9">
        <v>17106</v>
      </c>
      <c r="L490" t="s">
        <v>205</v>
      </c>
      <c r="M490" t="s">
        <v>34</v>
      </c>
      <c r="N490" s="7">
        <v>49</v>
      </c>
      <c r="O490" s="10">
        <v>0</v>
      </c>
      <c r="P490" s="7">
        <v>1</v>
      </c>
      <c r="Q490" t="s">
        <v>81</v>
      </c>
      <c r="R490" s="9">
        <v>102289</v>
      </c>
      <c r="S490" s="10">
        <v>6.55</v>
      </c>
      <c r="T490" s="9">
        <v>107030.77</v>
      </c>
      <c r="U490" s="6">
        <v>40</v>
      </c>
      <c r="V490" t="s">
        <v>29</v>
      </c>
    </row>
    <row r="491" spans="1:22" x14ac:dyDescent="0.25">
      <c r="A491" t="s">
        <v>646</v>
      </c>
      <c r="B491" s="1">
        <v>45760</v>
      </c>
      <c r="C491" s="7">
        <f>YEAR(Table2[[#This Row],[Date]])</f>
        <v>2025</v>
      </c>
      <c r="D491" t="s">
        <v>69</v>
      </c>
      <c r="E491" t="s">
        <v>48</v>
      </c>
      <c r="F491" t="s">
        <v>24</v>
      </c>
      <c r="G491" t="b">
        <v>0</v>
      </c>
      <c r="H491" s="10">
        <v>0</v>
      </c>
      <c r="I491" s="10">
        <v>3</v>
      </c>
      <c r="J491" t="s">
        <v>54</v>
      </c>
      <c r="K491" s="9">
        <v>38943</v>
      </c>
      <c r="L491" t="s">
        <v>261</v>
      </c>
      <c r="M491" t="s">
        <v>61</v>
      </c>
      <c r="N491" s="7">
        <v>41</v>
      </c>
      <c r="O491" s="10">
        <v>0</v>
      </c>
      <c r="P491" s="7">
        <v>0</v>
      </c>
      <c r="Q491" t="s">
        <v>87</v>
      </c>
      <c r="R491" s="9">
        <v>124435</v>
      </c>
      <c r="S491" s="10">
        <v>8.1199999999999992</v>
      </c>
      <c r="T491" s="9">
        <v>214018.19</v>
      </c>
      <c r="U491" s="6">
        <v>33</v>
      </c>
      <c r="V491" t="s">
        <v>29</v>
      </c>
    </row>
    <row r="492" spans="1:22" x14ac:dyDescent="0.25">
      <c r="A492" t="s">
        <v>647</v>
      </c>
      <c r="B492" s="1">
        <v>45579</v>
      </c>
      <c r="C492" s="7">
        <f>YEAR(Table2[[#This Row],[Date]])</f>
        <v>2024</v>
      </c>
      <c r="D492" t="s">
        <v>53</v>
      </c>
      <c r="E492" t="s">
        <v>48</v>
      </c>
      <c r="F492" t="s">
        <v>44</v>
      </c>
      <c r="G492" t="b">
        <v>0</v>
      </c>
      <c r="H492" s="10">
        <v>0</v>
      </c>
      <c r="I492" s="10">
        <v>2</v>
      </c>
      <c r="J492" t="s">
        <v>54</v>
      </c>
      <c r="K492" s="9">
        <v>42134</v>
      </c>
      <c r="L492" t="s">
        <v>139</v>
      </c>
      <c r="M492" t="s">
        <v>34</v>
      </c>
      <c r="N492" s="7">
        <v>71</v>
      </c>
      <c r="O492" s="10">
        <v>2</v>
      </c>
      <c r="P492" s="7">
        <v>0</v>
      </c>
      <c r="Q492" t="s">
        <v>46</v>
      </c>
      <c r="R492" s="9">
        <v>136069</v>
      </c>
      <c r="S492" s="10">
        <v>8.1999999999999993</v>
      </c>
      <c r="T492" s="9">
        <v>176486.6</v>
      </c>
      <c r="U492" s="6">
        <v>63</v>
      </c>
      <c r="V492" t="s">
        <v>29</v>
      </c>
    </row>
    <row r="493" spans="1:22" x14ac:dyDescent="0.25">
      <c r="A493" t="s">
        <v>648</v>
      </c>
      <c r="B493" s="1">
        <v>45908</v>
      </c>
      <c r="C493" s="7">
        <f>YEAR(Table2[[#This Row],[Date]])</f>
        <v>2025</v>
      </c>
      <c r="D493" t="s">
        <v>53</v>
      </c>
      <c r="E493" t="s">
        <v>23</v>
      </c>
      <c r="F493" t="s">
        <v>38</v>
      </c>
      <c r="G493" t="b">
        <v>0</v>
      </c>
      <c r="H493" s="10">
        <v>0</v>
      </c>
      <c r="I493" s="10">
        <v>0</v>
      </c>
      <c r="J493" t="s">
        <v>39</v>
      </c>
      <c r="K493" s="9">
        <v>12446</v>
      </c>
      <c r="L493" t="s">
        <v>208</v>
      </c>
      <c r="M493" t="s">
        <v>61</v>
      </c>
      <c r="N493" s="7">
        <v>10</v>
      </c>
      <c r="O493" s="10">
        <v>0</v>
      </c>
      <c r="P493" s="7">
        <v>0</v>
      </c>
      <c r="Q493" t="s">
        <v>41</v>
      </c>
      <c r="R493" s="9">
        <v>35142</v>
      </c>
      <c r="S493" s="10">
        <v>7.92</v>
      </c>
      <c r="T493" s="9">
        <v>249690.58</v>
      </c>
      <c r="U493" s="6">
        <v>42</v>
      </c>
      <c r="V493" t="s">
        <v>29</v>
      </c>
    </row>
    <row r="494" spans="1:22" x14ac:dyDescent="0.25">
      <c r="A494" t="s">
        <v>649</v>
      </c>
      <c r="B494" s="1">
        <v>46007</v>
      </c>
      <c r="C494" s="7">
        <f>YEAR(Table2[[#This Row],[Date]])</f>
        <v>2025</v>
      </c>
      <c r="D494" t="s">
        <v>22</v>
      </c>
      <c r="E494" t="s">
        <v>32</v>
      </c>
      <c r="F494" t="s">
        <v>24</v>
      </c>
      <c r="G494" t="b">
        <v>1</v>
      </c>
      <c r="H494" s="10">
        <v>5</v>
      </c>
      <c r="I494" s="10">
        <v>3</v>
      </c>
      <c r="J494" t="s">
        <v>25</v>
      </c>
      <c r="K494" s="9">
        <v>15613</v>
      </c>
      <c r="L494" t="s">
        <v>111</v>
      </c>
      <c r="M494" t="s">
        <v>61</v>
      </c>
      <c r="N494" s="7">
        <v>13</v>
      </c>
      <c r="O494" s="10">
        <v>0</v>
      </c>
      <c r="P494" s="7">
        <v>2</v>
      </c>
      <c r="Q494" t="s">
        <v>87</v>
      </c>
      <c r="R494" s="9">
        <v>8233</v>
      </c>
      <c r="S494" s="10">
        <v>8.0500000000000007</v>
      </c>
      <c r="T494" s="9">
        <v>199903.09</v>
      </c>
      <c r="U494" s="6">
        <v>27</v>
      </c>
      <c r="V494" t="s">
        <v>29</v>
      </c>
    </row>
    <row r="495" spans="1:22" x14ac:dyDescent="0.25">
      <c r="A495" t="s">
        <v>650</v>
      </c>
      <c r="B495" s="1">
        <v>45914</v>
      </c>
      <c r="C495" s="7">
        <f>YEAR(Table2[[#This Row],[Date]])</f>
        <v>2025</v>
      </c>
      <c r="D495" t="s">
        <v>69</v>
      </c>
      <c r="E495" t="s">
        <v>72</v>
      </c>
      <c r="F495" t="s">
        <v>44</v>
      </c>
      <c r="G495" t="b">
        <v>0</v>
      </c>
      <c r="H495" s="10">
        <v>0</v>
      </c>
      <c r="I495" s="10">
        <v>0</v>
      </c>
      <c r="J495" t="s">
        <v>39</v>
      </c>
      <c r="K495" s="9">
        <v>9161</v>
      </c>
      <c r="L495" t="s">
        <v>331</v>
      </c>
      <c r="M495" t="s">
        <v>50</v>
      </c>
      <c r="N495" s="7">
        <v>32</v>
      </c>
      <c r="O495" s="10">
        <v>0</v>
      </c>
      <c r="P495" s="7">
        <v>2</v>
      </c>
      <c r="Q495" t="s">
        <v>51</v>
      </c>
      <c r="R495" s="9">
        <v>139728</v>
      </c>
      <c r="S495" s="10">
        <v>2.2999999999999998</v>
      </c>
      <c r="T495" s="9">
        <v>76270.89</v>
      </c>
      <c r="U495" s="6">
        <v>49</v>
      </c>
      <c r="V495" t="s">
        <v>42</v>
      </c>
    </row>
    <row r="496" spans="1:22" x14ac:dyDescent="0.25">
      <c r="A496" t="s">
        <v>651</v>
      </c>
      <c r="B496" s="1">
        <v>45884</v>
      </c>
      <c r="C496" s="7">
        <f>YEAR(Table2[[#This Row],[Date]])</f>
        <v>2025</v>
      </c>
      <c r="D496" t="s">
        <v>31</v>
      </c>
      <c r="E496" t="s">
        <v>37</v>
      </c>
      <c r="F496" t="s">
        <v>38</v>
      </c>
      <c r="G496" t="b">
        <v>0</v>
      </c>
      <c r="H496" s="10">
        <v>0</v>
      </c>
      <c r="I496" s="10">
        <v>0</v>
      </c>
      <c r="J496" t="s">
        <v>39</v>
      </c>
      <c r="K496" s="9">
        <v>9361</v>
      </c>
      <c r="L496" t="s">
        <v>366</v>
      </c>
      <c r="M496" t="s">
        <v>50</v>
      </c>
      <c r="N496" s="7">
        <v>28</v>
      </c>
      <c r="O496" s="10">
        <v>2</v>
      </c>
      <c r="P496" s="7">
        <v>0</v>
      </c>
      <c r="Q496" t="s">
        <v>87</v>
      </c>
      <c r="R496" s="9">
        <v>121650</v>
      </c>
      <c r="S496" s="10">
        <v>6.49</v>
      </c>
      <c r="T496" s="9">
        <v>182572.3</v>
      </c>
      <c r="U496" s="6">
        <v>50</v>
      </c>
      <c r="V496" t="s">
        <v>29</v>
      </c>
    </row>
    <row r="497" spans="1:22" x14ac:dyDescent="0.25">
      <c r="A497" t="s">
        <v>652</v>
      </c>
      <c r="B497" s="1">
        <v>45546</v>
      </c>
      <c r="C497" s="7">
        <f>YEAR(Table2[[#This Row],[Date]])</f>
        <v>2024</v>
      </c>
      <c r="D497" t="s">
        <v>77</v>
      </c>
      <c r="E497" t="s">
        <v>23</v>
      </c>
      <c r="F497" t="s">
        <v>24</v>
      </c>
      <c r="G497" t="b">
        <v>0</v>
      </c>
      <c r="H497" s="10">
        <v>4</v>
      </c>
      <c r="I497" s="10">
        <v>2</v>
      </c>
      <c r="J497" t="s">
        <v>25</v>
      </c>
      <c r="K497" s="9">
        <v>45415</v>
      </c>
      <c r="L497" t="s">
        <v>139</v>
      </c>
      <c r="M497" t="s">
        <v>61</v>
      </c>
      <c r="N497" s="7">
        <v>26</v>
      </c>
      <c r="O497" s="10">
        <v>0</v>
      </c>
      <c r="P497" s="7">
        <v>1</v>
      </c>
      <c r="Q497" t="s">
        <v>62</v>
      </c>
      <c r="R497" s="9">
        <v>35367</v>
      </c>
      <c r="S497" s="10">
        <v>8.1199999999999992</v>
      </c>
      <c r="T497" s="9">
        <v>38566.26</v>
      </c>
      <c r="U497" s="6">
        <v>51</v>
      </c>
      <c r="V497" t="s">
        <v>29</v>
      </c>
    </row>
    <row r="498" spans="1:22" x14ac:dyDescent="0.25">
      <c r="A498" t="s">
        <v>653</v>
      </c>
      <c r="B498" s="1">
        <v>46002</v>
      </c>
      <c r="C498" s="7">
        <f>YEAR(Table2[[#This Row],[Date]])</f>
        <v>2025</v>
      </c>
      <c r="D498" t="s">
        <v>31</v>
      </c>
      <c r="E498" t="s">
        <v>66</v>
      </c>
      <c r="F498" t="s">
        <v>44</v>
      </c>
      <c r="G498" t="b">
        <v>0</v>
      </c>
      <c r="H498" s="10">
        <v>3</v>
      </c>
      <c r="I498" s="10">
        <v>1</v>
      </c>
      <c r="J498" t="s">
        <v>25</v>
      </c>
      <c r="K498" s="9">
        <v>6672</v>
      </c>
      <c r="L498" t="s">
        <v>253</v>
      </c>
      <c r="M498" t="s">
        <v>27</v>
      </c>
      <c r="N498" s="7">
        <v>72</v>
      </c>
      <c r="O498" s="10">
        <v>1</v>
      </c>
      <c r="P498" s="7">
        <v>1</v>
      </c>
      <c r="Q498" t="s">
        <v>87</v>
      </c>
      <c r="R498" s="9">
        <v>87681</v>
      </c>
      <c r="S498" s="10">
        <v>1.5</v>
      </c>
      <c r="T498" s="9">
        <v>173549.47</v>
      </c>
      <c r="U498" s="6">
        <v>27</v>
      </c>
      <c r="V498" t="s">
        <v>42</v>
      </c>
    </row>
    <row r="499" spans="1:22" x14ac:dyDescent="0.25">
      <c r="A499" t="s">
        <v>654</v>
      </c>
      <c r="B499" s="1">
        <v>45559</v>
      </c>
      <c r="C499" s="7">
        <f>YEAR(Table2[[#This Row],[Date]])</f>
        <v>2024</v>
      </c>
      <c r="D499" t="s">
        <v>89</v>
      </c>
      <c r="E499" t="s">
        <v>72</v>
      </c>
      <c r="F499" t="s">
        <v>24</v>
      </c>
      <c r="G499" t="b">
        <v>1</v>
      </c>
      <c r="H499" s="10">
        <v>4</v>
      </c>
      <c r="I499" s="10">
        <v>0</v>
      </c>
      <c r="J499" t="s">
        <v>25</v>
      </c>
      <c r="K499" s="9">
        <v>13210</v>
      </c>
      <c r="L499" t="s">
        <v>190</v>
      </c>
      <c r="M499" t="s">
        <v>34</v>
      </c>
      <c r="N499" s="7">
        <v>64</v>
      </c>
      <c r="O499" s="10">
        <v>2</v>
      </c>
      <c r="P499" s="7">
        <v>1</v>
      </c>
      <c r="Q499" t="s">
        <v>62</v>
      </c>
      <c r="R499" s="9">
        <v>131122</v>
      </c>
      <c r="S499" s="10">
        <v>8.07</v>
      </c>
      <c r="T499" s="9">
        <v>198130.76</v>
      </c>
      <c r="U499" s="6">
        <v>22</v>
      </c>
      <c r="V499" t="s">
        <v>42</v>
      </c>
    </row>
    <row r="500" spans="1:22" x14ac:dyDescent="0.25">
      <c r="A500" t="s">
        <v>655</v>
      </c>
      <c r="B500" s="1">
        <v>45635</v>
      </c>
      <c r="C500" s="7">
        <f>YEAR(Table2[[#This Row],[Date]])</f>
        <v>2024</v>
      </c>
      <c r="D500" t="s">
        <v>77</v>
      </c>
      <c r="E500" t="s">
        <v>72</v>
      </c>
      <c r="F500" t="s">
        <v>24</v>
      </c>
      <c r="G500" t="b">
        <v>0</v>
      </c>
      <c r="H500" s="10">
        <v>1</v>
      </c>
      <c r="I500" s="10">
        <v>2</v>
      </c>
      <c r="J500" t="s">
        <v>54</v>
      </c>
      <c r="K500" s="9">
        <v>49706</v>
      </c>
      <c r="L500" t="s">
        <v>90</v>
      </c>
      <c r="M500" t="s">
        <v>34</v>
      </c>
      <c r="N500" s="7">
        <v>26</v>
      </c>
      <c r="O500" s="10">
        <v>1</v>
      </c>
      <c r="P500" s="7">
        <v>0</v>
      </c>
      <c r="Q500" t="s">
        <v>28</v>
      </c>
      <c r="R500" s="9">
        <v>58774</v>
      </c>
      <c r="S500" s="10">
        <v>0.9</v>
      </c>
      <c r="T500" s="9">
        <v>72264.039999999994</v>
      </c>
      <c r="U500" s="6">
        <v>48</v>
      </c>
      <c r="V500" t="s">
        <v>42</v>
      </c>
    </row>
    <row r="501" spans="1:22" x14ac:dyDescent="0.25">
      <c r="A501" t="s">
        <v>656</v>
      </c>
      <c r="B501" s="1">
        <v>45578</v>
      </c>
      <c r="C501" s="7">
        <f>YEAR(Table2[[#This Row],[Date]])</f>
        <v>2024</v>
      </c>
      <c r="D501" t="s">
        <v>69</v>
      </c>
      <c r="E501" t="s">
        <v>37</v>
      </c>
      <c r="F501" t="s">
        <v>44</v>
      </c>
      <c r="G501" t="b">
        <v>1</v>
      </c>
      <c r="H501" s="10">
        <v>0</v>
      </c>
      <c r="I501" s="10">
        <v>0</v>
      </c>
      <c r="J501" t="s">
        <v>39</v>
      </c>
      <c r="K501" s="9">
        <v>47103</v>
      </c>
      <c r="L501" t="s">
        <v>291</v>
      </c>
      <c r="M501" t="s">
        <v>61</v>
      </c>
      <c r="N501" s="7">
        <v>55</v>
      </c>
      <c r="O501" s="10">
        <v>0</v>
      </c>
      <c r="P501" s="7">
        <v>1</v>
      </c>
      <c r="Q501" t="s">
        <v>46</v>
      </c>
      <c r="R501" s="9">
        <v>71015</v>
      </c>
      <c r="S501" s="10">
        <v>6.41</v>
      </c>
      <c r="T501" s="9">
        <v>21306.26</v>
      </c>
      <c r="U501" s="6">
        <v>56</v>
      </c>
      <c r="V501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2026-08-28T01:13:28Z</dcterms:created>
  <dcterms:modified xsi:type="dcterms:W3CDTF">2026-09-14T05:48:41Z</dcterms:modified>
</cp:coreProperties>
</file>